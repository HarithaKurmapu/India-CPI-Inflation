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a4b3b71addfeea3b/Desktop/"/>
    </mc:Choice>
  </mc:AlternateContent>
  <xr:revisionPtr revIDLastSave="21" documentId="14_{679495D8-3BE1-4080-A72E-E3ABACAD863B}" xr6:coauthVersionLast="47" xr6:coauthVersionMax="47" xr10:uidLastSave="{52D30343-28DA-4A05-906E-E4BE54864AA3}"/>
  <bookViews>
    <workbookView xWindow="-108" yWindow="-108" windowWidth="23256" windowHeight="12456" xr2:uid="{B085593F-6E29-45B8-9770-55F3E3BCDFEE}"/>
  </bookViews>
  <sheets>
    <sheet name="Backup" sheetId="2" r:id="rId1"/>
    <sheet name="Broader Categories" sheetId="4" r:id="rId2"/>
    <sheet name="Main Data" sheetId="7" r:id="rId3"/>
    <sheet name="Transpose" sheetId="5" r:id="rId4"/>
    <sheet name="Solution 1" sheetId="1" r:id="rId5"/>
    <sheet name="Solution 2" sheetId="8" r:id="rId6"/>
    <sheet name="Solution 3" sheetId="9" r:id="rId7"/>
    <sheet name="Solution 4" sheetId="10" r:id="rId8"/>
    <sheet name="Solution 5" sheetId="11" r:id="rId9"/>
  </sheets>
  <definedNames>
    <definedName name="_xlnm._FilterDatabase" localSheetId="0" hidden="1">Backup!$A$1:$AD$373</definedName>
    <definedName name="_xlnm._FilterDatabase" localSheetId="2" hidden="1">'Main Data'!$A$1:$AE$373</definedName>
    <definedName name="_xlnm._FilterDatabase" localSheetId="3" hidden="1">Transpose!$A$2:$DW$83</definedName>
    <definedName name="Gen_Ind">'Main Data'!$AE:$AE</definedName>
    <definedName name="Latestmonth">Transpose!$DW:$DW</definedName>
    <definedName name="May">Transpose!$DW:$DW</definedName>
    <definedName name="Month">'Main Data'!$C:$C</definedName>
    <definedName name="Name">Transpose!$DW:$DW</definedName>
    <definedName name="Sector">'Main Data'!$A:$A</definedName>
    <definedName name="Year">'Main Data'!$B:$B</definedName>
  </definedNames>
  <calcPr calcId="191029"/>
  <pivotCaches>
    <pivotCache cacheId="5" r:id="rId10"/>
    <pivotCache cacheId="6"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69" i="7" l="1"/>
  <c r="AF367" i="7"/>
  <c r="AF366" i="7"/>
  <c r="AF360" i="7"/>
  <c r="AF359" i="7"/>
  <c r="AF358" i="7"/>
  <c r="AF353" i="7"/>
  <c r="AF352" i="7"/>
  <c r="AF351" i="7"/>
  <c r="AF350" i="7"/>
  <c r="AF346" i="7"/>
  <c r="AF345" i="7"/>
  <c r="AF344" i="7"/>
  <c r="AF343" i="7"/>
  <c r="AF342" i="7"/>
  <c r="AF338" i="7"/>
  <c r="AF337" i="7"/>
  <c r="AF336" i="7"/>
  <c r="AF335" i="7"/>
  <c r="AF334" i="7"/>
  <c r="AF329" i="7"/>
  <c r="AF328" i="7"/>
  <c r="AF327" i="7"/>
  <c r="AF326" i="7"/>
  <c r="AF322" i="7"/>
  <c r="AF321" i="7"/>
  <c r="AF320" i="7"/>
  <c r="AF319" i="7"/>
  <c r="AF318" i="7"/>
  <c r="AF313" i="7"/>
  <c r="AF312" i="7"/>
  <c r="AF311" i="7"/>
  <c r="AF310" i="7"/>
  <c r="AF306" i="7"/>
  <c r="AF305" i="7"/>
  <c r="AF304" i="7"/>
  <c r="AF303" i="7"/>
  <c r="AF302" i="7"/>
  <c r="AF297" i="7"/>
  <c r="AF295" i="7"/>
  <c r="AF294" i="7"/>
  <c r="AF289" i="7"/>
  <c r="AF288" i="7"/>
  <c r="AF287" i="7"/>
  <c r="AF286" i="7"/>
  <c r="AF282" i="7"/>
  <c r="AF281" i="7"/>
  <c r="AF280" i="7"/>
  <c r="AF279" i="7"/>
  <c r="AF278" i="7"/>
  <c r="AF274" i="7"/>
  <c r="AF273" i="7"/>
  <c r="AF272" i="7"/>
  <c r="AF271" i="7"/>
  <c r="AF270" i="7"/>
  <c r="AF262" i="7"/>
  <c r="AF258" i="7"/>
  <c r="AF257" i="7"/>
  <c r="AF256" i="7"/>
  <c r="AF255" i="7"/>
  <c r="AF254" i="7"/>
  <c r="AF250" i="7"/>
  <c r="AF249" i="7"/>
  <c r="AF248" i="7"/>
  <c r="AF247" i="7"/>
  <c r="AF246" i="7"/>
  <c r="AF241" i="7"/>
  <c r="AF240" i="7"/>
  <c r="AF239" i="7"/>
  <c r="AF238" i="7"/>
  <c r="AF234" i="7"/>
  <c r="AF233" i="7"/>
  <c r="AF231" i="7"/>
  <c r="AF230" i="7"/>
  <c r="AF225" i="7"/>
  <c r="AF224" i="7"/>
  <c r="AF223" i="7"/>
  <c r="AF222" i="7"/>
  <c r="AF218" i="7"/>
  <c r="AF217" i="7"/>
  <c r="AF216" i="7"/>
  <c r="AF215" i="7"/>
  <c r="AF214" i="7"/>
  <c r="AF209" i="7"/>
  <c r="AF208" i="7"/>
  <c r="AF207" i="7"/>
  <c r="AF206" i="7"/>
  <c r="AF202" i="7"/>
  <c r="AF201" i="7"/>
  <c r="AF200" i="7"/>
  <c r="AF199" i="7"/>
  <c r="AF198" i="7"/>
  <c r="AF194" i="7"/>
  <c r="AF193" i="7"/>
  <c r="AF192" i="7"/>
  <c r="AF191" i="7"/>
  <c r="AF190" i="7"/>
  <c r="AF186" i="7"/>
  <c r="AF185" i="7"/>
  <c r="AF184" i="7"/>
  <c r="AF183" i="7"/>
  <c r="AF182" i="7"/>
  <c r="AF178" i="7"/>
  <c r="AF177" i="7"/>
  <c r="AF176" i="7"/>
  <c r="AF175" i="7"/>
  <c r="AF174" i="7"/>
  <c r="AF170" i="7"/>
  <c r="AF169" i="7"/>
  <c r="AF168" i="7"/>
  <c r="AF167" i="7"/>
  <c r="AF166" i="7"/>
  <c r="AF160" i="7"/>
  <c r="AF159" i="7"/>
  <c r="AF158" i="7"/>
  <c r="AF153" i="7"/>
  <c r="AF152" i="7"/>
  <c r="AF151" i="7"/>
  <c r="AF150" i="7"/>
  <c r="AF145" i="7"/>
  <c r="AF144" i="7"/>
  <c r="AF143" i="7"/>
  <c r="AF142" i="7"/>
  <c r="AF137" i="7"/>
  <c r="AF136" i="7"/>
  <c r="AF135" i="7"/>
  <c r="AF134" i="7"/>
  <c r="AF130" i="7"/>
  <c r="AF129" i="7"/>
  <c r="AF128" i="7"/>
  <c r="AF127" i="7"/>
  <c r="AF126" i="7"/>
  <c r="AF122" i="7"/>
  <c r="AF121" i="7"/>
  <c r="AF120" i="7"/>
  <c r="AF119" i="7"/>
  <c r="AF118" i="7"/>
  <c r="AF114" i="7"/>
  <c r="AF113" i="7"/>
  <c r="AF112" i="7"/>
  <c r="AF111" i="7"/>
  <c r="AF110" i="7"/>
  <c r="AF106" i="7"/>
  <c r="AF105" i="7"/>
  <c r="AF104" i="7"/>
  <c r="AF103" i="7"/>
  <c r="AF102" i="7"/>
  <c r="AF97" i="7"/>
  <c r="AF96" i="7"/>
  <c r="AF95" i="7"/>
  <c r="AF94" i="7"/>
  <c r="AF90" i="7"/>
  <c r="AF89" i="7"/>
  <c r="AF88" i="7"/>
  <c r="AF87" i="7"/>
  <c r="AF86" i="7"/>
  <c r="AF81" i="7"/>
  <c r="AF80" i="7"/>
  <c r="AF79" i="7"/>
  <c r="AF78" i="7"/>
  <c r="AF74" i="7"/>
  <c r="AF73" i="7"/>
  <c r="AF72" i="7"/>
  <c r="AF71" i="7"/>
  <c r="AF70" i="7"/>
  <c r="AF66" i="7"/>
  <c r="AF65" i="7"/>
  <c r="AF64" i="7"/>
  <c r="AF63" i="7"/>
  <c r="AF62" i="7"/>
  <c r="AF57" i="7"/>
  <c r="AF56" i="7"/>
  <c r="AF55" i="7"/>
  <c r="AF54" i="7"/>
  <c r="AF50" i="7"/>
  <c r="AF49" i="7"/>
  <c r="AF48" i="7"/>
  <c r="AF47" i="7"/>
  <c r="AF46" i="7"/>
  <c r="AF41" i="7"/>
  <c r="AF40" i="7"/>
  <c r="AF39" i="7"/>
  <c r="AF38" i="7"/>
  <c r="AF34" i="7"/>
  <c r="AF33" i="7"/>
  <c r="AF32" i="7"/>
  <c r="AF31" i="7"/>
  <c r="AF30" i="7"/>
  <c r="AF25" i="7"/>
  <c r="AF24" i="7"/>
  <c r="AF23" i="7"/>
  <c r="AF22" i="7"/>
  <c r="AF18" i="7"/>
  <c r="AF17" i="7"/>
  <c r="AF16" i="7"/>
  <c r="AF15" i="7"/>
  <c r="AF14" i="7"/>
  <c r="AF9" i="7"/>
  <c r="AF8" i="7"/>
  <c r="AF7" i="7"/>
  <c r="AF6" i="7"/>
  <c r="AF354" i="7"/>
  <c r="AF290" i="7"/>
  <c r="AF242" i="7"/>
  <c r="AF232" i="7"/>
  <c r="AF58" i="7"/>
  <c r="AF269" i="7"/>
  <c r="AF260" i="7"/>
  <c r="AE8" i="11"/>
  <c r="AE9" i="11"/>
  <c r="AE10" i="11"/>
  <c r="AE11" i="11"/>
  <c r="AE12" i="11"/>
  <c r="AE13" i="11"/>
  <c r="AE14" i="11"/>
  <c r="AE15" i="11"/>
  <c r="AE16" i="11"/>
  <c r="AE17" i="11"/>
  <c r="AE18" i="11"/>
  <c r="AE19" i="11"/>
  <c r="AE20" i="11"/>
  <c r="AE21" i="11"/>
  <c r="AE22" i="11"/>
  <c r="AE23" i="11"/>
  <c r="AE24" i="11"/>
  <c r="AE25" i="11"/>
  <c r="AE26" i="11"/>
  <c r="AE27" i="11"/>
  <c r="AE28" i="11"/>
  <c r="AE29" i="11"/>
  <c r="AE30" i="11"/>
  <c r="AE31" i="11"/>
  <c r="AE32" i="11"/>
  <c r="AE7" i="11"/>
  <c r="L7" i="9"/>
  <c r="L8" i="9"/>
  <c r="L9" i="9"/>
  <c r="L10" i="9"/>
  <c r="L11" i="9"/>
  <c r="L12" i="9"/>
  <c r="L13" i="9"/>
  <c r="L14" i="9"/>
  <c r="L15" i="9"/>
  <c r="L16" i="9"/>
  <c r="L17" i="9"/>
  <c r="L6" i="9"/>
  <c r="L49" i="9"/>
  <c r="L50" i="9"/>
  <c r="L51" i="9"/>
  <c r="L52" i="9"/>
  <c r="L53" i="9"/>
  <c r="L54" i="9"/>
  <c r="L55" i="9"/>
  <c r="L56" i="9"/>
  <c r="L57" i="9"/>
  <c r="L58" i="9"/>
  <c r="L59" i="9"/>
  <c r="L60" i="9"/>
  <c r="L61" i="9"/>
  <c r="L48" i="9"/>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 i="7"/>
  <c r="C7" i="8"/>
  <c r="D7" i="8"/>
  <c r="C8" i="8"/>
  <c r="D8" i="8"/>
  <c r="C9" i="8"/>
  <c r="D9" i="8"/>
  <c r="C10" i="8"/>
  <c r="D10" i="8"/>
  <c r="C11" i="8"/>
  <c r="D11" i="8"/>
  <c r="D6" i="8"/>
  <c r="C6" i="8"/>
  <c r="B57" i="5"/>
  <c r="B58" i="5"/>
  <c r="B59" i="5"/>
  <c r="B60" i="5"/>
  <c r="B61" i="5"/>
  <c r="B62" i="5"/>
  <c r="B63" i="5"/>
  <c r="B64" i="5"/>
  <c r="B65" i="5"/>
  <c r="B66" i="5"/>
  <c r="B67" i="5"/>
  <c r="B68" i="5"/>
  <c r="B69" i="5"/>
  <c r="B70" i="5"/>
  <c r="B71" i="5"/>
  <c r="B72" i="5"/>
  <c r="B73" i="5"/>
  <c r="B74" i="5"/>
  <c r="B75" i="5"/>
  <c r="B76" i="5"/>
  <c r="B77" i="5"/>
  <c r="B78" i="5"/>
  <c r="B79" i="5"/>
  <c r="B80" i="5"/>
  <c r="B81" i="5"/>
  <c r="B82" i="5"/>
  <c r="B83" i="5"/>
  <c r="B30" i="5"/>
  <c r="B31" i="5"/>
  <c r="B32" i="5"/>
  <c r="B33" i="5"/>
  <c r="B34" i="5"/>
  <c r="B35" i="5"/>
  <c r="B36" i="5"/>
  <c r="B37" i="5"/>
  <c r="B38" i="5"/>
  <c r="B39" i="5"/>
  <c r="B40" i="5"/>
  <c r="B41" i="5"/>
  <c r="B42" i="5"/>
  <c r="B43" i="5"/>
  <c r="B44" i="5"/>
  <c r="B45" i="5"/>
  <c r="B46" i="5"/>
  <c r="B47" i="5"/>
  <c r="B48" i="5"/>
  <c r="B49" i="5"/>
  <c r="B50" i="5"/>
  <c r="B51" i="5"/>
  <c r="B52" i="5"/>
  <c r="B53" i="5"/>
  <c r="B54" i="5"/>
  <c r="B55" i="5"/>
  <c r="B56" i="5"/>
  <c r="B4" i="5"/>
  <c r="B5" i="5"/>
  <c r="B6" i="5"/>
  <c r="B7" i="5"/>
  <c r="B8" i="5"/>
  <c r="B9" i="5"/>
  <c r="B10" i="5"/>
  <c r="B11" i="5"/>
  <c r="B12" i="5"/>
  <c r="B13" i="5"/>
  <c r="B14" i="5"/>
  <c r="B15" i="5"/>
  <c r="B16" i="5"/>
  <c r="B17" i="5"/>
  <c r="B18" i="5"/>
  <c r="B19" i="5"/>
  <c r="B20" i="5"/>
  <c r="B21" i="5"/>
  <c r="B22" i="5"/>
  <c r="B23" i="5"/>
  <c r="B24" i="5"/>
  <c r="B25" i="5"/>
  <c r="B26" i="5"/>
  <c r="B27" i="5"/>
  <c r="B28" i="5"/>
  <c r="B29" i="5"/>
  <c r="B3" i="5"/>
  <c r="AL373" i="7"/>
  <c r="AL372" i="7"/>
  <c r="AL371" i="7"/>
  <c r="AL370" i="7"/>
  <c r="AL369" i="7"/>
  <c r="AL368" i="7"/>
  <c r="AL367" i="7"/>
  <c r="AL366" i="7"/>
  <c r="AL365" i="7"/>
  <c r="AL364" i="7"/>
  <c r="AL363" i="7"/>
  <c r="AL362" i="7"/>
  <c r="AL361" i="7"/>
  <c r="AL360" i="7"/>
  <c r="AL359" i="7"/>
  <c r="AL358" i="7"/>
  <c r="AL357" i="7"/>
  <c r="AL356" i="7"/>
  <c r="AL355" i="7"/>
  <c r="AL354" i="7"/>
  <c r="AL353" i="7"/>
  <c r="AL352" i="7"/>
  <c r="AL351" i="7"/>
  <c r="AL350" i="7"/>
  <c r="AL349" i="7"/>
  <c r="AL348" i="7"/>
  <c r="AL347" i="7"/>
  <c r="AL346" i="7"/>
  <c r="AL345" i="7"/>
  <c r="AL344" i="7"/>
  <c r="AL343" i="7"/>
  <c r="AL342" i="7"/>
  <c r="AL341" i="7"/>
  <c r="AL340" i="7"/>
  <c r="AL339" i="7"/>
  <c r="AL338" i="7"/>
  <c r="AL337" i="7"/>
  <c r="AL336" i="7"/>
  <c r="AL335" i="7"/>
  <c r="AL334" i="7"/>
  <c r="AL333" i="7"/>
  <c r="AL332" i="7"/>
  <c r="AL331" i="7"/>
  <c r="AL330" i="7"/>
  <c r="AL329" i="7"/>
  <c r="AL328" i="7"/>
  <c r="AL327" i="7"/>
  <c r="AL326" i="7"/>
  <c r="AL325" i="7"/>
  <c r="AL324" i="7"/>
  <c r="AL323" i="7"/>
  <c r="AL322" i="7"/>
  <c r="AL321" i="7"/>
  <c r="AL320" i="7"/>
  <c r="AL319" i="7"/>
  <c r="AL318" i="7"/>
  <c r="AL317" i="7"/>
  <c r="AL316" i="7"/>
  <c r="AL315" i="7"/>
  <c r="AL314" i="7"/>
  <c r="AL313" i="7"/>
  <c r="AL312" i="7"/>
  <c r="AL311" i="7"/>
  <c r="AL310" i="7"/>
  <c r="AL309" i="7"/>
  <c r="AL308" i="7"/>
  <c r="AL307" i="7"/>
  <c r="AL306" i="7"/>
  <c r="AL305" i="7"/>
  <c r="AL304" i="7"/>
  <c r="AL303" i="7"/>
  <c r="AL302" i="7"/>
  <c r="AL301" i="7"/>
  <c r="AL300" i="7"/>
  <c r="AL299" i="7"/>
  <c r="AL298" i="7"/>
  <c r="AL297" i="7"/>
  <c r="AL296" i="7"/>
  <c r="AL295" i="7"/>
  <c r="AL294" i="7"/>
  <c r="AL293" i="7"/>
  <c r="AL292" i="7"/>
  <c r="AL291" i="7"/>
  <c r="AL290" i="7"/>
  <c r="AL289" i="7"/>
  <c r="AL288" i="7"/>
  <c r="AL287" i="7"/>
  <c r="AL286" i="7"/>
  <c r="AL285" i="7"/>
  <c r="AL284" i="7"/>
  <c r="AL283" i="7"/>
  <c r="AL282" i="7"/>
  <c r="AL281" i="7"/>
  <c r="AL280" i="7"/>
  <c r="AL279" i="7"/>
  <c r="AL278" i="7"/>
  <c r="AL277" i="7"/>
  <c r="AL276" i="7"/>
  <c r="AL275" i="7"/>
  <c r="AL274" i="7"/>
  <c r="AL273" i="7"/>
  <c r="AL272" i="7"/>
  <c r="AL271" i="7"/>
  <c r="AL270" i="7"/>
  <c r="AL269" i="7"/>
  <c r="AL268" i="7"/>
  <c r="AL267" i="7"/>
  <c r="AL266" i="7"/>
  <c r="AL265" i="7"/>
  <c r="AL264" i="7"/>
  <c r="AL263" i="7"/>
  <c r="AL262" i="7"/>
  <c r="AL261" i="7"/>
  <c r="AL260" i="7"/>
  <c r="AL259" i="7"/>
  <c r="AL258" i="7"/>
  <c r="AL257" i="7"/>
  <c r="AL256" i="7"/>
  <c r="AL255" i="7"/>
  <c r="AL254" i="7"/>
  <c r="AL253" i="7"/>
  <c r="AL252" i="7"/>
  <c r="AL251" i="7"/>
  <c r="AL250" i="7"/>
  <c r="AL249" i="7"/>
  <c r="AL248" i="7"/>
  <c r="AL247" i="7"/>
  <c r="AL246" i="7"/>
  <c r="AL245" i="7"/>
  <c r="AL244" i="7"/>
  <c r="AL243" i="7"/>
  <c r="AL242" i="7"/>
  <c r="AL241" i="7"/>
  <c r="AL240" i="7"/>
  <c r="AL239" i="7"/>
  <c r="AL238" i="7"/>
  <c r="AL237" i="7"/>
  <c r="AL236" i="7"/>
  <c r="AL235" i="7"/>
  <c r="AL234" i="7"/>
  <c r="AL233" i="7"/>
  <c r="AL232" i="7"/>
  <c r="AL231" i="7"/>
  <c r="AL230" i="7"/>
  <c r="AL229" i="7"/>
  <c r="AL228" i="7"/>
  <c r="AL227" i="7"/>
  <c r="AL226" i="7"/>
  <c r="AL225" i="7"/>
  <c r="AL224" i="7"/>
  <c r="AL223" i="7"/>
  <c r="AL222" i="7"/>
  <c r="AL221" i="7"/>
  <c r="AL220" i="7"/>
  <c r="AL219" i="7"/>
  <c r="AL218" i="7"/>
  <c r="AL217" i="7"/>
  <c r="AL216" i="7"/>
  <c r="AL215" i="7"/>
  <c r="AL214" i="7"/>
  <c r="AL213" i="7"/>
  <c r="AL212" i="7"/>
  <c r="AL211" i="7"/>
  <c r="AL210" i="7"/>
  <c r="AL209" i="7"/>
  <c r="AL208" i="7"/>
  <c r="AL207" i="7"/>
  <c r="AL206" i="7"/>
  <c r="AL205" i="7"/>
  <c r="AL204" i="7"/>
  <c r="AL203" i="7"/>
  <c r="AL202" i="7"/>
  <c r="AL201" i="7"/>
  <c r="AL200" i="7"/>
  <c r="AL199" i="7"/>
  <c r="AL198" i="7"/>
  <c r="AL197" i="7"/>
  <c r="AL196" i="7"/>
  <c r="AL195" i="7"/>
  <c r="AL194" i="7"/>
  <c r="AL193" i="7"/>
  <c r="AL192" i="7"/>
  <c r="AL191" i="7"/>
  <c r="AL190" i="7"/>
  <c r="AL189" i="7"/>
  <c r="AL188" i="7"/>
  <c r="AL187" i="7"/>
  <c r="AL186" i="7"/>
  <c r="AL185" i="7"/>
  <c r="AL184" i="7"/>
  <c r="AL183" i="7"/>
  <c r="AL182" i="7"/>
  <c r="AL181" i="7"/>
  <c r="AL180" i="7"/>
  <c r="AL179" i="7"/>
  <c r="AL178" i="7"/>
  <c r="AL177" i="7"/>
  <c r="AL176" i="7"/>
  <c r="AL175" i="7"/>
  <c r="AL174" i="7"/>
  <c r="AL173" i="7"/>
  <c r="AL172" i="7"/>
  <c r="AL171" i="7"/>
  <c r="AL170" i="7"/>
  <c r="AL169" i="7"/>
  <c r="AL168" i="7"/>
  <c r="AL167" i="7"/>
  <c r="AL166" i="7"/>
  <c r="AL165" i="7"/>
  <c r="AL164" i="7"/>
  <c r="AL163" i="7"/>
  <c r="AL162" i="7"/>
  <c r="AL161" i="7"/>
  <c r="AL160" i="7"/>
  <c r="AL159" i="7"/>
  <c r="AL158" i="7"/>
  <c r="AL157" i="7"/>
  <c r="AL156" i="7"/>
  <c r="AL155" i="7"/>
  <c r="AL154" i="7"/>
  <c r="AL153" i="7"/>
  <c r="AL152" i="7"/>
  <c r="AL151" i="7"/>
  <c r="AL150" i="7"/>
  <c r="AL149" i="7"/>
  <c r="AL148" i="7"/>
  <c r="AL147" i="7"/>
  <c r="AL146" i="7"/>
  <c r="AL145" i="7"/>
  <c r="AL144" i="7"/>
  <c r="AL143" i="7"/>
  <c r="AL142" i="7"/>
  <c r="AL141" i="7"/>
  <c r="AL140" i="7"/>
  <c r="AL139" i="7"/>
  <c r="AL138" i="7"/>
  <c r="AL137" i="7"/>
  <c r="AL136" i="7"/>
  <c r="AL135" i="7"/>
  <c r="AL134" i="7"/>
  <c r="AL133" i="7"/>
  <c r="AL132" i="7"/>
  <c r="AL131" i="7"/>
  <c r="AL130" i="7"/>
  <c r="AL129" i="7"/>
  <c r="AL128" i="7"/>
  <c r="AL127" i="7"/>
  <c r="AL126" i="7"/>
  <c r="AL125" i="7"/>
  <c r="AL124" i="7"/>
  <c r="AL123" i="7"/>
  <c r="AL122" i="7"/>
  <c r="AL121" i="7"/>
  <c r="AL120" i="7"/>
  <c r="AL119" i="7"/>
  <c r="AL118" i="7"/>
  <c r="AL117" i="7"/>
  <c r="AL116" i="7"/>
  <c r="AL115" i="7"/>
  <c r="AL114" i="7"/>
  <c r="AL113" i="7"/>
  <c r="AL112" i="7"/>
  <c r="AL111" i="7"/>
  <c r="AL110" i="7"/>
  <c r="AL109" i="7"/>
  <c r="AL108" i="7"/>
  <c r="AL107" i="7"/>
  <c r="AL106" i="7"/>
  <c r="AL105" i="7"/>
  <c r="AL104" i="7"/>
  <c r="AL103" i="7"/>
  <c r="AL102" i="7"/>
  <c r="AL101" i="7"/>
  <c r="AL100" i="7"/>
  <c r="AL99" i="7"/>
  <c r="AL98" i="7"/>
  <c r="AL97" i="7"/>
  <c r="AL96" i="7"/>
  <c r="AL95" i="7"/>
  <c r="AL94" i="7"/>
  <c r="AL93" i="7"/>
  <c r="AL92" i="7"/>
  <c r="AL91" i="7"/>
  <c r="AL90" i="7"/>
  <c r="AL89" i="7"/>
  <c r="AL88" i="7"/>
  <c r="AL87" i="7"/>
  <c r="AL86" i="7"/>
  <c r="AL85" i="7"/>
  <c r="AL84" i="7"/>
  <c r="AL83" i="7"/>
  <c r="AL82" i="7"/>
  <c r="AL81" i="7"/>
  <c r="AL80" i="7"/>
  <c r="AL79" i="7"/>
  <c r="AL78" i="7"/>
  <c r="AL77" i="7"/>
  <c r="AL76" i="7"/>
  <c r="AL75" i="7"/>
  <c r="AL74" i="7"/>
  <c r="AL73" i="7"/>
  <c r="AL72" i="7"/>
  <c r="AL71" i="7"/>
  <c r="AL70" i="7"/>
  <c r="AL69" i="7"/>
  <c r="AL68" i="7"/>
  <c r="AL67" i="7"/>
  <c r="AL66" i="7"/>
  <c r="AL65" i="7"/>
  <c r="AL64" i="7"/>
  <c r="AL63" i="7"/>
  <c r="AL62" i="7"/>
  <c r="AL61" i="7"/>
  <c r="AL60" i="7"/>
  <c r="AL59" i="7"/>
  <c r="AL58" i="7"/>
  <c r="AL57" i="7"/>
  <c r="AL56" i="7"/>
  <c r="AL55" i="7"/>
  <c r="AL54" i="7"/>
  <c r="AL53" i="7"/>
  <c r="AL52" i="7"/>
  <c r="AL51" i="7"/>
  <c r="AL50" i="7"/>
  <c r="AL49" i="7"/>
  <c r="AL48" i="7"/>
  <c r="AL47" i="7"/>
  <c r="AL46" i="7"/>
  <c r="AL45" i="7"/>
  <c r="AL44" i="7"/>
  <c r="AL43" i="7"/>
  <c r="AL42" i="7"/>
  <c r="AL41" i="7"/>
  <c r="AL40" i="7"/>
  <c r="AL39" i="7"/>
  <c r="AL38" i="7"/>
  <c r="AL37" i="7"/>
  <c r="AL36" i="7"/>
  <c r="AL35" i="7"/>
  <c r="AL34" i="7"/>
  <c r="AL33" i="7"/>
  <c r="AL32" i="7"/>
  <c r="AL31" i="7"/>
  <c r="AL30" i="7"/>
  <c r="AL29" i="7"/>
  <c r="AL28" i="7"/>
  <c r="AL27" i="7"/>
  <c r="AL26" i="7"/>
  <c r="AL25" i="7"/>
  <c r="AL24" i="7"/>
  <c r="AL23" i="7"/>
  <c r="AL22" i="7"/>
  <c r="AL21" i="7"/>
  <c r="AL20" i="7"/>
  <c r="AL19" i="7"/>
  <c r="AL18" i="7"/>
  <c r="AL17" i="7"/>
  <c r="AL16" i="7"/>
  <c r="AL15" i="7"/>
  <c r="AL14" i="7"/>
  <c r="AL13" i="7"/>
  <c r="AL12" i="7"/>
  <c r="AL11" i="7"/>
  <c r="AL10" i="7"/>
  <c r="AL9" i="7"/>
  <c r="AL8" i="7"/>
  <c r="AL7" i="7"/>
  <c r="AL6" i="7"/>
  <c r="AL5" i="7"/>
  <c r="AL4" i="7"/>
  <c r="AL3" i="7"/>
  <c r="AL2" i="7"/>
  <c r="AK373" i="7"/>
  <c r="AK372" i="7"/>
  <c r="AK371" i="7"/>
  <c r="AK370" i="7"/>
  <c r="AK369" i="7"/>
  <c r="AK368" i="7"/>
  <c r="AK367" i="7"/>
  <c r="AK366" i="7"/>
  <c r="AK365" i="7"/>
  <c r="AK364" i="7"/>
  <c r="AK363" i="7"/>
  <c r="AK362" i="7"/>
  <c r="AK361" i="7"/>
  <c r="AK360" i="7"/>
  <c r="AK359" i="7"/>
  <c r="AK358" i="7"/>
  <c r="AK357" i="7"/>
  <c r="AK356" i="7"/>
  <c r="AK355" i="7"/>
  <c r="AK354" i="7"/>
  <c r="AK353" i="7"/>
  <c r="AK352" i="7"/>
  <c r="AK351" i="7"/>
  <c r="AK350" i="7"/>
  <c r="AK349" i="7"/>
  <c r="AK348" i="7"/>
  <c r="AK347" i="7"/>
  <c r="AK346" i="7"/>
  <c r="AK345" i="7"/>
  <c r="AK344" i="7"/>
  <c r="AK343" i="7"/>
  <c r="AK342" i="7"/>
  <c r="AK341" i="7"/>
  <c r="AK340" i="7"/>
  <c r="AK339" i="7"/>
  <c r="AK338" i="7"/>
  <c r="AK337" i="7"/>
  <c r="AK336" i="7"/>
  <c r="AK335" i="7"/>
  <c r="AK334" i="7"/>
  <c r="AK333" i="7"/>
  <c r="AK332" i="7"/>
  <c r="AK331" i="7"/>
  <c r="AK330" i="7"/>
  <c r="AK329" i="7"/>
  <c r="AK328" i="7"/>
  <c r="AK327" i="7"/>
  <c r="AK326" i="7"/>
  <c r="AK325" i="7"/>
  <c r="AK324" i="7"/>
  <c r="AK323" i="7"/>
  <c r="AK322" i="7"/>
  <c r="AK321" i="7"/>
  <c r="AK320" i="7"/>
  <c r="AK319" i="7"/>
  <c r="AK318" i="7"/>
  <c r="AK317" i="7"/>
  <c r="AK316" i="7"/>
  <c r="AK315" i="7"/>
  <c r="AK314" i="7"/>
  <c r="AK313" i="7"/>
  <c r="AK312" i="7"/>
  <c r="AK311" i="7"/>
  <c r="AK310" i="7"/>
  <c r="AK309" i="7"/>
  <c r="AK308" i="7"/>
  <c r="AK307" i="7"/>
  <c r="AK306" i="7"/>
  <c r="AK305" i="7"/>
  <c r="AK304" i="7"/>
  <c r="AK303" i="7"/>
  <c r="AK302" i="7"/>
  <c r="AK301" i="7"/>
  <c r="AK300" i="7"/>
  <c r="AK299" i="7"/>
  <c r="AK298" i="7"/>
  <c r="AK297" i="7"/>
  <c r="AK296" i="7"/>
  <c r="AK295" i="7"/>
  <c r="AK294" i="7"/>
  <c r="AK293" i="7"/>
  <c r="AK292" i="7"/>
  <c r="AK291" i="7"/>
  <c r="AK290" i="7"/>
  <c r="AK289" i="7"/>
  <c r="AK288" i="7"/>
  <c r="AK287" i="7"/>
  <c r="AK286" i="7"/>
  <c r="AK285" i="7"/>
  <c r="AK284" i="7"/>
  <c r="AK283" i="7"/>
  <c r="AK282" i="7"/>
  <c r="AK281" i="7"/>
  <c r="AK280" i="7"/>
  <c r="AK279" i="7"/>
  <c r="AK278" i="7"/>
  <c r="AK277" i="7"/>
  <c r="AK276" i="7"/>
  <c r="AK275" i="7"/>
  <c r="AK274" i="7"/>
  <c r="AK273" i="7"/>
  <c r="AK272" i="7"/>
  <c r="AK271" i="7"/>
  <c r="AK270" i="7"/>
  <c r="AK269" i="7"/>
  <c r="AK268" i="7"/>
  <c r="AK267" i="7"/>
  <c r="AK266" i="7"/>
  <c r="AK265" i="7"/>
  <c r="AK264" i="7"/>
  <c r="AK263" i="7"/>
  <c r="AK262" i="7"/>
  <c r="AK261" i="7"/>
  <c r="AK260" i="7"/>
  <c r="AK259" i="7"/>
  <c r="AK258" i="7"/>
  <c r="AK257" i="7"/>
  <c r="AK256" i="7"/>
  <c r="AK255" i="7"/>
  <c r="AK254" i="7"/>
  <c r="AK253" i="7"/>
  <c r="AK252" i="7"/>
  <c r="AK251" i="7"/>
  <c r="AK250" i="7"/>
  <c r="AK249" i="7"/>
  <c r="AK248" i="7"/>
  <c r="AK247" i="7"/>
  <c r="AK246" i="7"/>
  <c r="AK245" i="7"/>
  <c r="AK244" i="7"/>
  <c r="AK243" i="7"/>
  <c r="AK242" i="7"/>
  <c r="AK241" i="7"/>
  <c r="AK240" i="7"/>
  <c r="AK239" i="7"/>
  <c r="AK238" i="7"/>
  <c r="AK237" i="7"/>
  <c r="AK236" i="7"/>
  <c r="AK235" i="7"/>
  <c r="AK234" i="7"/>
  <c r="AK233" i="7"/>
  <c r="AK232" i="7"/>
  <c r="AK231" i="7"/>
  <c r="AK230" i="7"/>
  <c r="AK229" i="7"/>
  <c r="AK228" i="7"/>
  <c r="AK227" i="7"/>
  <c r="AK226" i="7"/>
  <c r="AK225" i="7"/>
  <c r="AK224" i="7"/>
  <c r="AK223" i="7"/>
  <c r="AK222" i="7"/>
  <c r="AK221" i="7"/>
  <c r="AK220" i="7"/>
  <c r="AK219" i="7"/>
  <c r="AK218" i="7"/>
  <c r="AK217" i="7"/>
  <c r="AK216" i="7"/>
  <c r="AK215" i="7"/>
  <c r="AK214" i="7"/>
  <c r="AK213" i="7"/>
  <c r="AK212" i="7"/>
  <c r="AK211" i="7"/>
  <c r="AK210" i="7"/>
  <c r="AK209" i="7"/>
  <c r="AK208" i="7"/>
  <c r="AK207" i="7"/>
  <c r="AK206" i="7"/>
  <c r="AK205" i="7"/>
  <c r="AK204" i="7"/>
  <c r="AK203" i="7"/>
  <c r="AK202" i="7"/>
  <c r="AK201" i="7"/>
  <c r="AK200" i="7"/>
  <c r="AK199" i="7"/>
  <c r="AK198" i="7"/>
  <c r="AK197" i="7"/>
  <c r="AK196" i="7"/>
  <c r="AK195" i="7"/>
  <c r="AK194" i="7"/>
  <c r="AK193" i="7"/>
  <c r="AK192" i="7"/>
  <c r="AK191" i="7"/>
  <c r="AK190" i="7"/>
  <c r="AK189" i="7"/>
  <c r="AK188" i="7"/>
  <c r="AK187" i="7"/>
  <c r="AK186" i="7"/>
  <c r="AK185" i="7"/>
  <c r="AK184" i="7"/>
  <c r="AK183" i="7"/>
  <c r="AK182" i="7"/>
  <c r="AK181" i="7"/>
  <c r="AK180" i="7"/>
  <c r="AK179" i="7"/>
  <c r="AK178" i="7"/>
  <c r="AK177" i="7"/>
  <c r="AK176" i="7"/>
  <c r="AK175" i="7"/>
  <c r="AK174" i="7"/>
  <c r="AK173" i="7"/>
  <c r="AK172" i="7"/>
  <c r="AK171" i="7"/>
  <c r="AK170" i="7"/>
  <c r="AK169" i="7"/>
  <c r="AK168" i="7"/>
  <c r="AK167" i="7"/>
  <c r="AK166" i="7"/>
  <c r="AK165" i="7"/>
  <c r="AK164" i="7"/>
  <c r="AK163" i="7"/>
  <c r="AK162" i="7"/>
  <c r="AK161" i="7"/>
  <c r="AK160" i="7"/>
  <c r="AK159" i="7"/>
  <c r="AK158" i="7"/>
  <c r="AK157" i="7"/>
  <c r="AK156" i="7"/>
  <c r="AK155" i="7"/>
  <c r="AK154" i="7"/>
  <c r="AK153" i="7"/>
  <c r="AK152" i="7"/>
  <c r="AK151" i="7"/>
  <c r="AK150" i="7"/>
  <c r="AK149" i="7"/>
  <c r="AK148" i="7"/>
  <c r="AK147" i="7"/>
  <c r="AK146" i="7"/>
  <c r="AK145" i="7"/>
  <c r="AK144" i="7"/>
  <c r="AK143" i="7"/>
  <c r="AK142" i="7"/>
  <c r="AK141" i="7"/>
  <c r="AK140" i="7"/>
  <c r="AK139" i="7"/>
  <c r="AK138" i="7"/>
  <c r="AK137" i="7"/>
  <c r="AK136" i="7"/>
  <c r="AK135" i="7"/>
  <c r="AK134" i="7"/>
  <c r="AK133" i="7"/>
  <c r="AK132" i="7"/>
  <c r="AK131" i="7"/>
  <c r="AK130" i="7"/>
  <c r="AK129" i="7"/>
  <c r="AK128" i="7"/>
  <c r="AK127" i="7"/>
  <c r="AK126" i="7"/>
  <c r="AK125" i="7"/>
  <c r="AK124" i="7"/>
  <c r="AK123" i="7"/>
  <c r="AK122" i="7"/>
  <c r="AK121" i="7"/>
  <c r="AK120" i="7"/>
  <c r="AK119" i="7"/>
  <c r="AK118" i="7"/>
  <c r="AK117" i="7"/>
  <c r="AK116" i="7"/>
  <c r="AK115" i="7"/>
  <c r="AK114" i="7"/>
  <c r="AK113" i="7"/>
  <c r="AK112" i="7"/>
  <c r="AK111" i="7"/>
  <c r="AK110" i="7"/>
  <c r="AK109" i="7"/>
  <c r="AK108" i="7"/>
  <c r="AK107" i="7"/>
  <c r="AK106" i="7"/>
  <c r="AK105" i="7"/>
  <c r="AK104" i="7"/>
  <c r="AK103" i="7"/>
  <c r="AK102" i="7"/>
  <c r="AK101" i="7"/>
  <c r="AK100" i="7"/>
  <c r="AK99" i="7"/>
  <c r="AK98" i="7"/>
  <c r="AK97" i="7"/>
  <c r="AK96" i="7"/>
  <c r="AK95" i="7"/>
  <c r="AK94" i="7"/>
  <c r="AK93" i="7"/>
  <c r="AK92" i="7"/>
  <c r="AK91" i="7"/>
  <c r="AK90" i="7"/>
  <c r="AK89" i="7"/>
  <c r="AK88" i="7"/>
  <c r="AK87" i="7"/>
  <c r="AK86" i="7"/>
  <c r="AK85" i="7"/>
  <c r="AK84" i="7"/>
  <c r="AK83" i="7"/>
  <c r="AK82" i="7"/>
  <c r="AK81" i="7"/>
  <c r="AK80" i="7"/>
  <c r="AK79" i="7"/>
  <c r="AK78" i="7"/>
  <c r="AK77" i="7"/>
  <c r="AK76" i="7"/>
  <c r="AK75" i="7"/>
  <c r="AK74" i="7"/>
  <c r="AK73" i="7"/>
  <c r="AK72" i="7"/>
  <c r="AK71" i="7"/>
  <c r="AK70" i="7"/>
  <c r="AK69" i="7"/>
  <c r="AK68" i="7"/>
  <c r="AK67" i="7"/>
  <c r="AK66" i="7"/>
  <c r="AK65" i="7"/>
  <c r="AK64" i="7"/>
  <c r="AK63" i="7"/>
  <c r="AK62" i="7"/>
  <c r="AK61" i="7"/>
  <c r="AK60" i="7"/>
  <c r="AK59" i="7"/>
  <c r="AK58" i="7"/>
  <c r="AK57" i="7"/>
  <c r="AK56" i="7"/>
  <c r="AK55" i="7"/>
  <c r="AK54" i="7"/>
  <c r="AK53" i="7"/>
  <c r="AK52" i="7"/>
  <c r="AK51" i="7"/>
  <c r="AK50" i="7"/>
  <c r="AK49" i="7"/>
  <c r="AK48" i="7"/>
  <c r="AK47" i="7"/>
  <c r="AK46" i="7"/>
  <c r="AK45" i="7"/>
  <c r="AK44" i="7"/>
  <c r="AK43" i="7"/>
  <c r="AK42" i="7"/>
  <c r="AK41" i="7"/>
  <c r="AK40" i="7"/>
  <c r="AK39" i="7"/>
  <c r="AK38" i="7"/>
  <c r="AK37" i="7"/>
  <c r="AK36" i="7"/>
  <c r="AK35" i="7"/>
  <c r="AK34" i="7"/>
  <c r="AK33" i="7"/>
  <c r="AK32" i="7"/>
  <c r="AK31" i="7"/>
  <c r="AK30" i="7"/>
  <c r="AK29" i="7"/>
  <c r="AK28" i="7"/>
  <c r="AK27" i="7"/>
  <c r="AK26" i="7"/>
  <c r="AK25" i="7"/>
  <c r="AK24" i="7"/>
  <c r="AK23" i="7"/>
  <c r="AK22" i="7"/>
  <c r="AK21" i="7"/>
  <c r="AK20" i="7"/>
  <c r="AK19" i="7"/>
  <c r="AK18" i="7"/>
  <c r="AK17" i="7"/>
  <c r="AK16" i="7"/>
  <c r="AK15" i="7"/>
  <c r="AK14" i="7"/>
  <c r="AK13" i="7"/>
  <c r="AK12" i="7"/>
  <c r="AK11" i="7"/>
  <c r="AK10" i="7"/>
  <c r="AK9" i="7"/>
  <c r="AK8" i="7"/>
  <c r="AK7" i="7"/>
  <c r="AK6" i="7"/>
  <c r="AK5" i="7"/>
  <c r="AK4" i="7"/>
  <c r="AK3" i="7"/>
  <c r="AK2" i="7"/>
  <c r="AJ373" i="7"/>
  <c r="AJ372" i="7"/>
  <c r="AJ371" i="7"/>
  <c r="AJ370" i="7"/>
  <c r="AJ369" i="7"/>
  <c r="AJ368" i="7"/>
  <c r="AJ367" i="7"/>
  <c r="AJ366" i="7"/>
  <c r="AJ365" i="7"/>
  <c r="AJ364" i="7"/>
  <c r="AJ363" i="7"/>
  <c r="AJ362" i="7"/>
  <c r="AJ361" i="7"/>
  <c r="AJ360" i="7"/>
  <c r="AJ359" i="7"/>
  <c r="AJ358" i="7"/>
  <c r="AJ357" i="7"/>
  <c r="AJ356" i="7"/>
  <c r="AJ355" i="7"/>
  <c r="AJ354" i="7"/>
  <c r="AJ353" i="7"/>
  <c r="AJ352" i="7"/>
  <c r="AJ351" i="7"/>
  <c r="AJ350" i="7"/>
  <c r="AJ349" i="7"/>
  <c r="AJ348" i="7"/>
  <c r="AJ347" i="7"/>
  <c r="AJ346" i="7"/>
  <c r="AJ345" i="7"/>
  <c r="AJ344" i="7"/>
  <c r="AJ343" i="7"/>
  <c r="AJ342" i="7"/>
  <c r="AJ341" i="7"/>
  <c r="AJ340" i="7"/>
  <c r="AJ339" i="7"/>
  <c r="AJ338" i="7"/>
  <c r="AJ337" i="7"/>
  <c r="AJ336" i="7"/>
  <c r="AJ335" i="7"/>
  <c r="AJ334" i="7"/>
  <c r="AJ333" i="7"/>
  <c r="AJ332" i="7"/>
  <c r="AJ331" i="7"/>
  <c r="AJ330" i="7"/>
  <c r="AJ329" i="7"/>
  <c r="AJ328" i="7"/>
  <c r="AJ327" i="7"/>
  <c r="AJ326" i="7"/>
  <c r="AJ325" i="7"/>
  <c r="AJ324" i="7"/>
  <c r="AJ323" i="7"/>
  <c r="AJ322" i="7"/>
  <c r="AJ321" i="7"/>
  <c r="AJ320" i="7"/>
  <c r="AJ319" i="7"/>
  <c r="AJ318" i="7"/>
  <c r="AJ317" i="7"/>
  <c r="AJ316" i="7"/>
  <c r="AJ315" i="7"/>
  <c r="AJ314" i="7"/>
  <c r="AJ313" i="7"/>
  <c r="AJ312" i="7"/>
  <c r="AJ311" i="7"/>
  <c r="AJ310" i="7"/>
  <c r="AJ309" i="7"/>
  <c r="AJ308" i="7"/>
  <c r="AJ307" i="7"/>
  <c r="AJ306" i="7"/>
  <c r="AJ305" i="7"/>
  <c r="AJ304" i="7"/>
  <c r="AJ303" i="7"/>
  <c r="AJ302" i="7"/>
  <c r="AJ301" i="7"/>
  <c r="AJ300" i="7"/>
  <c r="AJ299" i="7"/>
  <c r="AJ298" i="7"/>
  <c r="AJ297" i="7"/>
  <c r="AJ296" i="7"/>
  <c r="AJ295" i="7"/>
  <c r="AJ294" i="7"/>
  <c r="AJ293" i="7"/>
  <c r="AJ292" i="7"/>
  <c r="AJ291" i="7"/>
  <c r="AJ290" i="7"/>
  <c r="AJ289" i="7"/>
  <c r="AJ288" i="7"/>
  <c r="AJ287" i="7"/>
  <c r="AJ286" i="7"/>
  <c r="AJ285" i="7"/>
  <c r="AJ284" i="7"/>
  <c r="AJ283" i="7"/>
  <c r="AJ282" i="7"/>
  <c r="AJ281" i="7"/>
  <c r="AJ280" i="7"/>
  <c r="AJ279" i="7"/>
  <c r="AJ278" i="7"/>
  <c r="AJ277" i="7"/>
  <c r="AJ276" i="7"/>
  <c r="AJ275" i="7"/>
  <c r="AJ274" i="7"/>
  <c r="AJ273" i="7"/>
  <c r="AJ272" i="7"/>
  <c r="AJ271" i="7"/>
  <c r="AJ270" i="7"/>
  <c r="AJ269" i="7"/>
  <c r="AJ268" i="7"/>
  <c r="AJ267" i="7"/>
  <c r="AJ266" i="7"/>
  <c r="AJ265" i="7"/>
  <c r="AJ264" i="7"/>
  <c r="AJ263" i="7"/>
  <c r="AJ262" i="7"/>
  <c r="AJ261" i="7"/>
  <c r="AJ260" i="7"/>
  <c r="AJ259" i="7"/>
  <c r="AJ258" i="7"/>
  <c r="AJ257" i="7"/>
  <c r="AJ256" i="7"/>
  <c r="AJ255" i="7"/>
  <c r="AJ254" i="7"/>
  <c r="AJ253" i="7"/>
  <c r="AJ252" i="7"/>
  <c r="AJ251" i="7"/>
  <c r="AJ250" i="7"/>
  <c r="AJ249" i="7"/>
  <c r="AJ248" i="7"/>
  <c r="AJ247" i="7"/>
  <c r="AJ246" i="7"/>
  <c r="AJ245" i="7"/>
  <c r="AJ244" i="7"/>
  <c r="AJ243" i="7"/>
  <c r="AJ242" i="7"/>
  <c r="AJ241" i="7"/>
  <c r="AJ240" i="7"/>
  <c r="AJ239" i="7"/>
  <c r="AJ238" i="7"/>
  <c r="AJ237" i="7"/>
  <c r="AJ236" i="7"/>
  <c r="AJ235" i="7"/>
  <c r="AJ234" i="7"/>
  <c r="AJ233" i="7"/>
  <c r="AJ232" i="7"/>
  <c r="AJ231" i="7"/>
  <c r="AJ230" i="7"/>
  <c r="AJ229" i="7"/>
  <c r="AJ228" i="7"/>
  <c r="AJ227" i="7"/>
  <c r="AJ226" i="7"/>
  <c r="AJ225" i="7"/>
  <c r="AJ224" i="7"/>
  <c r="AJ223" i="7"/>
  <c r="AJ222" i="7"/>
  <c r="AJ221" i="7"/>
  <c r="AJ220" i="7"/>
  <c r="AJ219" i="7"/>
  <c r="AJ218" i="7"/>
  <c r="AJ217" i="7"/>
  <c r="AJ216" i="7"/>
  <c r="AJ215" i="7"/>
  <c r="AJ214" i="7"/>
  <c r="AJ213" i="7"/>
  <c r="AJ212" i="7"/>
  <c r="AJ211" i="7"/>
  <c r="AJ210" i="7"/>
  <c r="AJ209" i="7"/>
  <c r="AJ208" i="7"/>
  <c r="AJ207" i="7"/>
  <c r="AJ206" i="7"/>
  <c r="AJ205" i="7"/>
  <c r="AJ204" i="7"/>
  <c r="AJ203" i="7"/>
  <c r="AJ202" i="7"/>
  <c r="AJ201" i="7"/>
  <c r="AJ200" i="7"/>
  <c r="AJ199" i="7"/>
  <c r="AJ198" i="7"/>
  <c r="AJ197" i="7"/>
  <c r="AJ196" i="7"/>
  <c r="AJ195" i="7"/>
  <c r="AJ194" i="7"/>
  <c r="AJ193" i="7"/>
  <c r="AJ192" i="7"/>
  <c r="AJ191" i="7"/>
  <c r="AJ190" i="7"/>
  <c r="AJ189" i="7"/>
  <c r="AJ188" i="7"/>
  <c r="AJ187" i="7"/>
  <c r="AJ186" i="7"/>
  <c r="AJ185" i="7"/>
  <c r="AJ184" i="7"/>
  <c r="AJ183" i="7"/>
  <c r="AJ182" i="7"/>
  <c r="AJ181" i="7"/>
  <c r="AJ180" i="7"/>
  <c r="AJ179" i="7"/>
  <c r="AJ178" i="7"/>
  <c r="AJ177" i="7"/>
  <c r="AJ176" i="7"/>
  <c r="AJ175" i="7"/>
  <c r="AJ174" i="7"/>
  <c r="AJ173" i="7"/>
  <c r="AJ172" i="7"/>
  <c r="AJ171" i="7"/>
  <c r="AJ170" i="7"/>
  <c r="AJ169" i="7"/>
  <c r="AJ168" i="7"/>
  <c r="AJ167" i="7"/>
  <c r="AJ166" i="7"/>
  <c r="AJ165" i="7"/>
  <c r="AJ164" i="7"/>
  <c r="AJ163" i="7"/>
  <c r="AJ162" i="7"/>
  <c r="AJ161" i="7"/>
  <c r="AJ160" i="7"/>
  <c r="AJ159" i="7"/>
  <c r="AJ158" i="7"/>
  <c r="AJ157" i="7"/>
  <c r="AJ156" i="7"/>
  <c r="AJ155" i="7"/>
  <c r="AJ154" i="7"/>
  <c r="AJ153" i="7"/>
  <c r="AJ152" i="7"/>
  <c r="AJ151" i="7"/>
  <c r="AJ150" i="7"/>
  <c r="AJ149" i="7"/>
  <c r="AJ148" i="7"/>
  <c r="AJ147" i="7"/>
  <c r="AJ146" i="7"/>
  <c r="AJ145" i="7"/>
  <c r="AJ144" i="7"/>
  <c r="AJ143" i="7"/>
  <c r="AJ142" i="7"/>
  <c r="AJ141" i="7"/>
  <c r="AJ140" i="7"/>
  <c r="AJ139" i="7"/>
  <c r="AJ138" i="7"/>
  <c r="AJ137" i="7"/>
  <c r="AJ136" i="7"/>
  <c r="AJ135" i="7"/>
  <c r="AJ134" i="7"/>
  <c r="AJ133" i="7"/>
  <c r="AJ132" i="7"/>
  <c r="AJ131" i="7"/>
  <c r="AJ130" i="7"/>
  <c r="AJ129" i="7"/>
  <c r="AJ128" i="7"/>
  <c r="AJ127" i="7"/>
  <c r="AJ126" i="7"/>
  <c r="AJ125" i="7"/>
  <c r="AJ124" i="7"/>
  <c r="AJ123" i="7"/>
  <c r="AJ122" i="7"/>
  <c r="AJ121" i="7"/>
  <c r="AJ120" i="7"/>
  <c r="AJ119" i="7"/>
  <c r="AJ118" i="7"/>
  <c r="AJ117" i="7"/>
  <c r="AJ116" i="7"/>
  <c r="AJ115" i="7"/>
  <c r="AJ114" i="7"/>
  <c r="AJ113" i="7"/>
  <c r="AJ112" i="7"/>
  <c r="AJ111" i="7"/>
  <c r="AJ110" i="7"/>
  <c r="AJ109" i="7"/>
  <c r="AJ108" i="7"/>
  <c r="AJ107" i="7"/>
  <c r="AJ106" i="7"/>
  <c r="AJ105" i="7"/>
  <c r="AJ104" i="7"/>
  <c r="AJ103" i="7"/>
  <c r="AJ102" i="7"/>
  <c r="AJ101" i="7"/>
  <c r="AJ100" i="7"/>
  <c r="AJ99" i="7"/>
  <c r="AJ98" i="7"/>
  <c r="AJ97" i="7"/>
  <c r="AJ96" i="7"/>
  <c r="AJ95" i="7"/>
  <c r="AJ94" i="7"/>
  <c r="AJ93" i="7"/>
  <c r="AJ92" i="7"/>
  <c r="AJ91" i="7"/>
  <c r="AJ90" i="7"/>
  <c r="AJ89" i="7"/>
  <c r="AJ88" i="7"/>
  <c r="AJ87" i="7"/>
  <c r="AJ86" i="7"/>
  <c r="AJ85" i="7"/>
  <c r="AJ84" i="7"/>
  <c r="AJ83" i="7"/>
  <c r="AJ82" i="7"/>
  <c r="AJ81" i="7"/>
  <c r="AJ80" i="7"/>
  <c r="AJ79" i="7"/>
  <c r="AJ78" i="7"/>
  <c r="AJ77" i="7"/>
  <c r="AJ76" i="7"/>
  <c r="AJ75" i="7"/>
  <c r="AJ74" i="7"/>
  <c r="AJ73" i="7"/>
  <c r="AJ72" i="7"/>
  <c r="AJ71" i="7"/>
  <c r="AJ70" i="7"/>
  <c r="AJ69" i="7"/>
  <c r="AJ68" i="7"/>
  <c r="AJ67" i="7"/>
  <c r="AJ66" i="7"/>
  <c r="AJ65" i="7"/>
  <c r="AJ64" i="7"/>
  <c r="AJ63" i="7"/>
  <c r="AJ62" i="7"/>
  <c r="AJ61" i="7"/>
  <c r="AJ60" i="7"/>
  <c r="AJ59" i="7"/>
  <c r="AJ58" i="7"/>
  <c r="AJ57" i="7"/>
  <c r="AJ56" i="7"/>
  <c r="AJ55" i="7"/>
  <c r="AJ54" i="7"/>
  <c r="AJ53" i="7"/>
  <c r="AJ52" i="7"/>
  <c r="AJ51" i="7"/>
  <c r="AJ50" i="7"/>
  <c r="AJ49" i="7"/>
  <c r="AJ48" i="7"/>
  <c r="AJ47" i="7"/>
  <c r="AJ46" i="7"/>
  <c r="AJ45" i="7"/>
  <c r="AJ44" i="7"/>
  <c r="AJ43" i="7"/>
  <c r="AJ42" i="7"/>
  <c r="AJ41" i="7"/>
  <c r="AJ40" i="7"/>
  <c r="AJ39" i="7"/>
  <c r="AJ38" i="7"/>
  <c r="AJ37" i="7"/>
  <c r="AJ36" i="7"/>
  <c r="AJ35" i="7"/>
  <c r="AJ34" i="7"/>
  <c r="AJ33" i="7"/>
  <c r="AJ32" i="7"/>
  <c r="AJ31" i="7"/>
  <c r="AJ30" i="7"/>
  <c r="AJ29" i="7"/>
  <c r="AJ28" i="7"/>
  <c r="AJ27" i="7"/>
  <c r="AJ26" i="7"/>
  <c r="AJ25" i="7"/>
  <c r="AJ24" i="7"/>
  <c r="AJ23" i="7"/>
  <c r="AJ22" i="7"/>
  <c r="AJ21" i="7"/>
  <c r="AJ20" i="7"/>
  <c r="AJ19" i="7"/>
  <c r="AJ18" i="7"/>
  <c r="AJ17" i="7"/>
  <c r="AJ16" i="7"/>
  <c r="AJ15" i="7"/>
  <c r="AJ14" i="7"/>
  <c r="AJ13" i="7"/>
  <c r="AJ12" i="7"/>
  <c r="AJ11" i="7"/>
  <c r="AJ10" i="7"/>
  <c r="AJ9" i="7"/>
  <c r="AJ8" i="7"/>
  <c r="AJ7" i="7"/>
  <c r="AJ6" i="7"/>
  <c r="AJ5" i="7"/>
  <c r="AJ4" i="7"/>
  <c r="AJ3" i="7"/>
  <c r="AJ2" i="7"/>
  <c r="AI373" i="7"/>
  <c r="AI372" i="7"/>
  <c r="AI371" i="7"/>
  <c r="AI370" i="7"/>
  <c r="AI369" i="7"/>
  <c r="AI368" i="7"/>
  <c r="AI367" i="7"/>
  <c r="AI366" i="7"/>
  <c r="AI365" i="7"/>
  <c r="AI364" i="7"/>
  <c r="AI363" i="7"/>
  <c r="AI362" i="7"/>
  <c r="AI361" i="7"/>
  <c r="AI360" i="7"/>
  <c r="AI359" i="7"/>
  <c r="AI358" i="7"/>
  <c r="AI357" i="7"/>
  <c r="AI356" i="7"/>
  <c r="AI355" i="7"/>
  <c r="AI354" i="7"/>
  <c r="AI353" i="7"/>
  <c r="AI352" i="7"/>
  <c r="AI351" i="7"/>
  <c r="AI350" i="7"/>
  <c r="AI349" i="7"/>
  <c r="AI348" i="7"/>
  <c r="AI347" i="7"/>
  <c r="AI346" i="7"/>
  <c r="AI345" i="7"/>
  <c r="AI344" i="7"/>
  <c r="AI343" i="7"/>
  <c r="AI342" i="7"/>
  <c r="AI341" i="7"/>
  <c r="AI340" i="7"/>
  <c r="AI339" i="7"/>
  <c r="AI338" i="7"/>
  <c r="AI337" i="7"/>
  <c r="AI336" i="7"/>
  <c r="AI335" i="7"/>
  <c r="AI334" i="7"/>
  <c r="AI333" i="7"/>
  <c r="AI332" i="7"/>
  <c r="AI331" i="7"/>
  <c r="AI330" i="7"/>
  <c r="AI329" i="7"/>
  <c r="AI328" i="7"/>
  <c r="AI327" i="7"/>
  <c r="AI326" i="7"/>
  <c r="AI325" i="7"/>
  <c r="AI324" i="7"/>
  <c r="AI323" i="7"/>
  <c r="AI322" i="7"/>
  <c r="AI321" i="7"/>
  <c r="AI320" i="7"/>
  <c r="AI319" i="7"/>
  <c r="AI318" i="7"/>
  <c r="AI317" i="7"/>
  <c r="AI316" i="7"/>
  <c r="AI315" i="7"/>
  <c r="AI314" i="7"/>
  <c r="AI313" i="7"/>
  <c r="AI312" i="7"/>
  <c r="AI311" i="7"/>
  <c r="AI310" i="7"/>
  <c r="AI309" i="7"/>
  <c r="AI308" i="7"/>
  <c r="AI307" i="7"/>
  <c r="AI306" i="7"/>
  <c r="AI305" i="7"/>
  <c r="AI304" i="7"/>
  <c r="AI303" i="7"/>
  <c r="AI302" i="7"/>
  <c r="AI301" i="7"/>
  <c r="AI300" i="7"/>
  <c r="AI299" i="7"/>
  <c r="AI298" i="7"/>
  <c r="AI297" i="7"/>
  <c r="AI296" i="7"/>
  <c r="AI295" i="7"/>
  <c r="AI294" i="7"/>
  <c r="AI293" i="7"/>
  <c r="AI292" i="7"/>
  <c r="AI291" i="7"/>
  <c r="AI290" i="7"/>
  <c r="AI289" i="7"/>
  <c r="AI288" i="7"/>
  <c r="AI287" i="7"/>
  <c r="AI286" i="7"/>
  <c r="AI285" i="7"/>
  <c r="AI284" i="7"/>
  <c r="AI283" i="7"/>
  <c r="AI282" i="7"/>
  <c r="AI281" i="7"/>
  <c r="AI280" i="7"/>
  <c r="AI279" i="7"/>
  <c r="AI278" i="7"/>
  <c r="AI277" i="7"/>
  <c r="AI276" i="7"/>
  <c r="AI275" i="7"/>
  <c r="AI274" i="7"/>
  <c r="AI273" i="7"/>
  <c r="AI272" i="7"/>
  <c r="AI271" i="7"/>
  <c r="AI270" i="7"/>
  <c r="AI269" i="7"/>
  <c r="AI268" i="7"/>
  <c r="AI267" i="7"/>
  <c r="AI266" i="7"/>
  <c r="AI265" i="7"/>
  <c r="AI264" i="7"/>
  <c r="AI263" i="7"/>
  <c r="AI262" i="7"/>
  <c r="AI261" i="7"/>
  <c r="AI260" i="7"/>
  <c r="AI259" i="7"/>
  <c r="AI258" i="7"/>
  <c r="AI257" i="7"/>
  <c r="AI256" i="7"/>
  <c r="AI255" i="7"/>
  <c r="AI254" i="7"/>
  <c r="AI253" i="7"/>
  <c r="AI252" i="7"/>
  <c r="AI251" i="7"/>
  <c r="AI250" i="7"/>
  <c r="AI249" i="7"/>
  <c r="AI248" i="7"/>
  <c r="AI247" i="7"/>
  <c r="AI246" i="7"/>
  <c r="AI245" i="7"/>
  <c r="AI244" i="7"/>
  <c r="AI243" i="7"/>
  <c r="AI242" i="7"/>
  <c r="AI241" i="7"/>
  <c r="AI240" i="7"/>
  <c r="AI239" i="7"/>
  <c r="AI238" i="7"/>
  <c r="AI237" i="7"/>
  <c r="AI236" i="7"/>
  <c r="AI235" i="7"/>
  <c r="AI234" i="7"/>
  <c r="AI233" i="7"/>
  <c r="AI232" i="7"/>
  <c r="AI231" i="7"/>
  <c r="AI230" i="7"/>
  <c r="AI229" i="7"/>
  <c r="AI228" i="7"/>
  <c r="AI227" i="7"/>
  <c r="AI226" i="7"/>
  <c r="AI225" i="7"/>
  <c r="AI224" i="7"/>
  <c r="AI223" i="7"/>
  <c r="AI222" i="7"/>
  <c r="AI221" i="7"/>
  <c r="AI220" i="7"/>
  <c r="AI219" i="7"/>
  <c r="AI218" i="7"/>
  <c r="AI217" i="7"/>
  <c r="AI216" i="7"/>
  <c r="AI215" i="7"/>
  <c r="AI214" i="7"/>
  <c r="AI213" i="7"/>
  <c r="AI212" i="7"/>
  <c r="AI211" i="7"/>
  <c r="AI210" i="7"/>
  <c r="AI209" i="7"/>
  <c r="AI208" i="7"/>
  <c r="AI207" i="7"/>
  <c r="AI206" i="7"/>
  <c r="AI205" i="7"/>
  <c r="AI204" i="7"/>
  <c r="AI203" i="7"/>
  <c r="AI202" i="7"/>
  <c r="AI201" i="7"/>
  <c r="AI200" i="7"/>
  <c r="AI199" i="7"/>
  <c r="AI198" i="7"/>
  <c r="AI197" i="7"/>
  <c r="AI196" i="7"/>
  <c r="AI195" i="7"/>
  <c r="AI194" i="7"/>
  <c r="AI193" i="7"/>
  <c r="AI192" i="7"/>
  <c r="AI191" i="7"/>
  <c r="AI190" i="7"/>
  <c r="AI189" i="7"/>
  <c r="AI188" i="7"/>
  <c r="AI187" i="7"/>
  <c r="AI186" i="7"/>
  <c r="AI185" i="7"/>
  <c r="AI184" i="7"/>
  <c r="AI183" i="7"/>
  <c r="AI182" i="7"/>
  <c r="AI181" i="7"/>
  <c r="AI180" i="7"/>
  <c r="AI179" i="7"/>
  <c r="AI178" i="7"/>
  <c r="AI177" i="7"/>
  <c r="AI176" i="7"/>
  <c r="AI175" i="7"/>
  <c r="AI174" i="7"/>
  <c r="AI173" i="7"/>
  <c r="AI172" i="7"/>
  <c r="AI171" i="7"/>
  <c r="AI170" i="7"/>
  <c r="AI169" i="7"/>
  <c r="AI168" i="7"/>
  <c r="AI167" i="7"/>
  <c r="AI166" i="7"/>
  <c r="AI165" i="7"/>
  <c r="AI164" i="7"/>
  <c r="AI163" i="7"/>
  <c r="AI162" i="7"/>
  <c r="AI161" i="7"/>
  <c r="AI160" i="7"/>
  <c r="AI159" i="7"/>
  <c r="AI158" i="7"/>
  <c r="AI157" i="7"/>
  <c r="AI156" i="7"/>
  <c r="AI155" i="7"/>
  <c r="AI154" i="7"/>
  <c r="AI153" i="7"/>
  <c r="AI152" i="7"/>
  <c r="AI151" i="7"/>
  <c r="AI150" i="7"/>
  <c r="AI149" i="7"/>
  <c r="AI148" i="7"/>
  <c r="AI147" i="7"/>
  <c r="AI146" i="7"/>
  <c r="AI145" i="7"/>
  <c r="AI144" i="7"/>
  <c r="AI143" i="7"/>
  <c r="AI142" i="7"/>
  <c r="AI141" i="7"/>
  <c r="AI140" i="7"/>
  <c r="AI139" i="7"/>
  <c r="AI138" i="7"/>
  <c r="AI137" i="7"/>
  <c r="AI136" i="7"/>
  <c r="AI135" i="7"/>
  <c r="AI134" i="7"/>
  <c r="AI133" i="7"/>
  <c r="AI132" i="7"/>
  <c r="AI131" i="7"/>
  <c r="AI130" i="7"/>
  <c r="AI129" i="7"/>
  <c r="AI128" i="7"/>
  <c r="AI127" i="7"/>
  <c r="AI126" i="7"/>
  <c r="AI125" i="7"/>
  <c r="AI124" i="7"/>
  <c r="AI123" i="7"/>
  <c r="AI122" i="7"/>
  <c r="AI121" i="7"/>
  <c r="AI120" i="7"/>
  <c r="AI119" i="7"/>
  <c r="AI118" i="7"/>
  <c r="AI117" i="7"/>
  <c r="AI116" i="7"/>
  <c r="AI115" i="7"/>
  <c r="AI114" i="7"/>
  <c r="AI113" i="7"/>
  <c r="AI112" i="7"/>
  <c r="AI111" i="7"/>
  <c r="AI110" i="7"/>
  <c r="AI109" i="7"/>
  <c r="AI108" i="7"/>
  <c r="AI107" i="7"/>
  <c r="AI106" i="7"/>
  <c r="AI105" i="7"/>
  <c r="AI104" i="7"/>
  <c r="AI103" i="7"/>
  <c r="AI102" i="7"/>
  <c r="AI101" i="7"/>
  <c r="AI100" i="7"/>
  <c r="AI99" i="7"/>
  <c r="AI98" i="7"/>
  <c r="AI97" i="7"/>
  <c r="AI96" i="7"/>
  <c r="AI95" i="7"/>
  <c r="AI94" i="7"/>
  <c r="AI93" i="7"/>
  <c r="AI92" i="7"/>
  <c r="AI91" i="7"/>
  <c r="AI90" i="7"/>
  <c r="AI89" i="7"/>
  <c r="AI88" i="7"/>
  <c r="AI87" i="7"/>
  <c r="AI86" i="7"/>
  <c r="AI85" i="7"/>
  <c r="AI84" i="7"/>
  <c r="AI83" i="7"/>
  <c r="AI82" i="7"/>
  <c r="AI81" i="7"/>
  <c r="AI80" i="7"/>
  <c r="AI79" i="7"/>
  <c r="AI78" i="7"/>
  <c r="AI77" i="7"/>
  <c r="AI76" i="7"/>
  <c r="AI75" i="7"/>
  <c r="AI74" i="7"/>
  <c r="AI73" i="7"/>
  <c r="AI72" i="7"/>
  <c r="AI71" i="7"/>
  <c r="AI70" i="7"/>
  <c r="AI69" i="7"/>
  <c r="AI68" i="7"/>
  <c r="AI67" i="7"/>
  <c r="AI66" i="7"/>
  <c r="AI65" i="7"/>
  <c r="AI64" i="7"/>
  <c r="AI63" i="7"/>
  <c r="AI62" i="7"/>
  <c r="AI61" i="7"/>
  <c r="AI60" i="7"/>
  <c r="AI59" i="7"/>
  <c r="AI58" i="7"/>
  <c r="AI57" i="7"/>
  <c r="AI56" i="7"/>
  <c r="AI55" i="7"/>
  <c r="AI54" i="7"/>
  <c r="AI53" i="7"/>
  <c r="AI52" i="7"/>
  <c r="AI51" i="7"/>
  <c r="AI50" i="7"/>
  <c r="AI49" i="7"/>
  <c r="AI48" i="7"/>
  <c r="AI47" i="7"/>
  <c r="AI46" i="7"/>
  <c r="AI45" i="7"/>
  <c r="AI44" i="7"/>
  <c r="AI43" i="7"/>
  <c r="AI42" i="7"/>
  <c r="AI41" i="7"/>
  <c r="AI40" i="7"/>
  <c r="AI39" i="7"/>
  <c r="AI38" i="7"/>
  <c r="AI37" i="7"/>
  <c r="AI36" i="7"/>
  <c r="AI35" i="7"/>
  <c r="AI34" i="7"/>
  <c r="AI33" i="7"/>
  <c r="AI32" i="7"/>
  <c r="AI31" i="7"/>
  <c r="AI30" i="7"/>
  <c r="AI29" i="7"/>
  <c r="AI28" i="7"/>
  <c r="AI27" i="7"/>
  <c r="AI26" i="7"/>
  <c r="AI25" i="7"/>
  <c r="AI24" i="7"/>
  <c r="AI23" i="7"/>
  <c r="AI22" i="7"/>
  <c r="AI21" i="7"/>
  <c r="AI20" i="7"/>
  <c r="AI19" i="7"/>
  <c r="AI18" i="7"/>
  <c r="AI17" i="7"/>
  <c r="AI16" i="7"/>
  <c r="AI15" i="7"/>
  <c r="AI14" i="7"/>
  <c r="AI13" i="7"/>
  <c r="AI12" i="7"/>
  <c r="AI11" i="7"/>
  <c r="AI10" i="7"/>
  <c r="AI9" i="7"/>
  <c r="AI8" i="7"/>
  <c r="AI7" i="7"/>
  <c r="AI6" i="7"/>
  <c r="AI5" i="7"/>
  <c r="AI4" i="7"/>
  <c r="AI3" i="7"/>
  <c r="AI2" i="7"/>
  <c r="AH373" i="7"/>
  <c r="AH372" i="7"/>
  <c r="AH371" i="7"/>
  <c r="AH370" i="7"/>
  <c r="AH369" i="7"/>
  <c r="AH368" i="7"/>
  <c r="AH367" i="7"/>
  <c r="AH366" i="7"/>
  <c r="AH365" i="7"/>
  <c r="AH364" i="7"/>
  <c r="AH363" i="7"/>
  <c r="AH362" i="7"/>
  <c r="AH361" i="7"/>
  <c r="AH360" i="7"/>
  <c r="AH359" i="7"/>
  <c r="AH358" i="7"/>
  <c r="AH357" i="7"/>
  <c r="AH356" i="7"/>
  <c r="AH355" i="7"/>
  <c r="AH354" i="7"/>
  <c r="AH353" i="7"/>
  <c r="AH352" i="7"/>
  <c r="AH351" i="7"/>
  <c r="AH350" i="7"/>
  <c r="AH349" i="7"/>
  <c r="AH348" i="7"/>
  <c r="AH347" i="7"/>
  <c r="AH346" i="7"/>
  <c r="AH345" i="7"/>
  <c r="AH344" i="7"/>
  <c r="AH343" i="7"/>
  <c r="AH342" i="7"/>
  <c r="AH341" i="7"/>
  <c r="AH340" i="7"/>
  <c r="AH339" i="7"/>
  <c r="AH338" i="7"/>
  <c r="AH337" i="7"/>
  <c r="AH336" i="7"/>
  <c r="AH335" i="7"/>
  <c r="AH334" i="7"/>
  <c r="AH333" i="7"/>
  <c r="AH332" i="7"/>
  <c r="AH331" i="7"/>
  <c r="AH330" i="7"/>
  <c r="AH329" i="7"/>
  <c r="AH328" i="7"/>
  <c r="AH327" i="7"/>
  <c r="AH326" i="7"/>
  <c r="AH325" i="7"/>
  <c r="AH324" i="7"/>
  <c r="AH323" i="7"/>
  <c r="AH322" i="7"/>
  <c r="AH321" i="7"/>
  <c r="AH320" i="7"/>
  <c r="AH319" i="7"/>
  <c r="AH318" i="7"/>
  <c r="AH317" i="7"/>
  <c r="AH316" i="7"/>
  <c r="AH315" i="7"/>
  <c r="AH314" i="7"/>
  <c r="AH313" i="7"/>
  <c r="AH312" i="7"/>
  <c r="AH311" i="7"/>
  <c r="AH310" i="7"/>
  <c r="AH309" i="7"/>
  <c r="AH308" i="7"/>
  <c r="AH307" i="7"/>
  <c r="AH306" i="7"/>
  <c r="AH305" i="7"/>
  <c r="AH304" i="7"/>
  <c r="AH303" i="7"/>
  <c r="AH302" i="7"/>
  <c r="AH301" i="7"/>
  <c r="AH300" i="7"/>
  <c r="AH299" i="7"/>
  <c r="AH298" i="7"/>
  <c r="AH297" i="7"/>
  <c r="AH296" i="7"/>
  <c r="AH295" i="7"/>
  <c r="AH294" i="7"/>
  <c r="AH293" i="7"/>
  <c r="AH292" i="7"/>
  <c r="AH291" i="7"/>
  <c r="AH290" i="7"/>
  <c r="AH289" i="7"/>
  <c r="AH288" i="7"/>
  <c r="AH287" i="7"/>
  <c r="AH286" i="7"/>
  <c r="AH285" i="7"/>
  <c r="AH284" i="7"/>
  <c r="AH283" i="7"/>
  <c r="AH282" i="7"/>
  <c r="AH281" i="7"/>
  <c r="AH280" i="7"/>
  <c r="AH279" i="7"/>
  <c r="AH278" i="7"/>
  <c r="AH277" i="7"/>
  <c r="AH276" i="7"/>
  <c r="AH275" i="7"/>
  <c r="AH274" i="7"/>
  <c r="AH273" i="7"/>
  <c r="AH272" i="7"/>
  <c r="AH271" i="7"/>
  <c r="AH270" i="7"/>
  <c r="AH269" i="7"/>
  <c r="AH268" i="7"/>
  <c r="AH267" i="7"/>
  <c r="AH266" i="7"/>
  <c r="AH265" i="7"/>
  <c r="AH264" i="7"/>
  <c r="AH263" i="7"/>
  <c r="AH262" i="7"/>
  <c r="AH261" i="7"/>
  <c r="AH260" i="7"/>
  <c r="AH259" i="7"/>
  <c r="AH258" i="7"/>
  <c r="AH257" i="7"/>
  <c r="AH256" i="7"/>
  <c r="AH255" i="7"/>
  <c r="AH254" i="7"/>
  <c r="AH253" i="7"/>
  <c r="AH252" i="7"/>
  <c r="AH251" i="7"/>
  <c r="AH250" i="7"/>
  <c r="AH249" i="7"/>
  <c r="AH248" i="7"/>
  <c r="AH247" i="7"/>
  <c r="AH246" i="7"/>
  <c r="AH245" i="7"/>
  <c r="AH244" i="7"/>
  <c r="AH243" i="7"/>
  <c r="AH242" i="7"/>
  <c r="AH241" i="7"/>
  <c r="AH240" i="7"/>
  <c r="AH239" i="7"/>
  <c r="AH238" i="7"/>
  <c r="AH237" i="7"/>
  <c r="AH236" i="7"/>
  <c r="AH235" i="7"/>
  <c r="AH234" i="7"/>
  <c r="AH233" i="7"/>
  <c r="AH232" i="7"/>
  <c r="AH231" i="7"/>
  <c r="AH230" i="7"/>
  <c r="AH229" i="7"/>
  <c r="AH228" i="7"/>
  <c r="AH227" i="7"/>
  <c r="AH226" i="7"/>
  <c r="AH225" i="7"/>
  <c r="AH224" i="7"/>
  <c r="AH223" i="7"/>
  <c r="AH222" i="7"/>
  <c r="AH221" i="7"/>
  <c r="AH220" i="7"/>
  <c r="AH219" i="7"/>
  <c r="AH218" i="7"/>
  <c r="AH217" i="7"/>
  <c r="AH216" i="7"/>
  <c r="AH215" i="7"/>
  <c r="AH214" i="7"/>
  <c r="AH213" i="7"/>
  <c r="AH212" i="7"/>
  <c r="AH211" i="7"/>
  <c r="AH210" i="7"/>
  <c r="AH209" i="7"/>
  <c r="AH208" i="7"/>
  <c r="AH207" i="7"/>
  <c r="AH206" i="7"/>
  <c r="AH205" i="7"/>
  <c r="AH204" i="7"/>
  <c r="AH203" i="7"/>
  <c r="AH202" i="7"/>
  <c r="AH201" i="7"/>
  <c r="AH200" i="7"/>
  <c r="AH199" i="7"/>
  <c r="AH198" i="7"/>
  <c r="AH197" i="7"/>
  <c r="AH196" i="7"/>
  <c r="AH195" i="7"/>
  <c r="AH194" i="7"/>
  <c r="AH193" i="7"/>
  <c r="AH192" i="7"/>
  <c r="AH191" i="7"/>
  <c r="AH190" i="7"/>
  <c r="AH189" i="7"/>
  <c r="AH188" i="7"/>
  <c r="AH187" i="7"/>
  <c r="AH186" i="7"/>
  <c r="AH185" i="7"/>
  <c r="AH184" i="7"/>
  <c r="AH183" i="7"/>
  <c r="AH182" i="7"/>
  <c r="AH181" i="7"/>
  <c r="AH180" i="7"/>
  <c r="AH179" i="7"/>
  <c r="AH178" i="7"/>
  <c r="AH177" i="7"/>
  <c r="AH176" i="7"/>
  <c r="AH175" i="7"/>
  <c r="AH174" i="7"/>
  <c r="AH173" i="7"/>
  <c r="AH172" i="7"/>
  <c r="AH171" i="7"/>
  <c r="AH170" i="7"/>
  <c r="AH169" i="7"/>
  <c r="AH168" i="7"/>
  <c r="AH167" i="7"/>
  <c r="AH166" i="7"/>
  <c r="AH165" i="7"/>
  <c r="AH164" i="7"/>
  <c r="AH163" i="7"/>
  <c r="AH162" i="7"/>
  <c r="AH161" i="7"/>
  <c r="AH160" i="7"/>
  <c r="AH159" i="7"/>
  <c r="AH158" i="7"/>
  <c r="AH157" i="7"/>
  <c r="AH156" i="7"/>
  <c r="AH155" i="7"/>
  <c r="AH154" i="7"/>
  <c r="AH153" i="7"/>
  <c r="AH152" i="7"/>
  <c r="AH151" i="7"/>
  <c r="AH150" i="7"/>
  <c r="AH149" i="7"/>
  <c r="AH148" i="7"/>
  <c r="AH147" i="7"/>
  <c r="AH146" i="7"/>
  <c r="AH145" i="7"/>
  <c r="AH144" i="7"/>
  <c r="AH143" i="7"/>
  <c r="AH142" i="7"/>
  <c r="AH141" i="7"/>
  <c r="AH140" i="7"/>
  <c r="AH139" i="7"/>
  <c r="AH138" i="7"/>
  <c r="AH137" i="7"/>
  <c r="AH136" i="7"/>
  <c r="AH135" i="7"/>
  <c r="AH134" i="7"/>
  <c r="AH133" i="7"/>
  <c r="AH132" i="7"/>
  <c r="AH131" i="7"/>
  <c r="AH130" i="7"/>
  <c r="AH129" i="7"/>
  <c r="AH128" i="7"/>
  <c r="AH127" i="7"/>
  <c r="AH126" i="7"/>
  <c r="AH125" i="7"/>
  <c r="AH124" i="7"/>
  <c r="AH123" i="7"/>
  <c r="AH122" i="7"/>
  <c r="AH121" i="7"/>
  <c r="AH120" i="7"/>
  <c r="AH119" i="7"/>
  <c r="AH118" i="7"/>
  <c r="AH117" i="7"/>
  <c r="AH116" i="7"/>
  <c r="AH115" i="7"/>
  <c r="AH114" i="7"/>
  <c r="AH113" i="7"/>
  <c r="AH112" i="7"/>
  <c r="AH111" i="7"/>
  <c r="AH110" i="7"/>
  <c r="AH109" i="7"/>
  <c r="AH108" i="7"/>
  <c r="AH107" i="7"/>
  <c r="AH106" i="7"/>
  <c r="AH105" i="7"/>
  <c r="AH104" i="7"/>
  <c r="AH103" i="7"/>
  <c r="AH102" i="7"/>
  <c r="AH101" i="7"/>
  <c r="AH100" i="7"/>
  <c r="AH99" i="7"/>
  <c r="AH98" i="7"/>
  <c r="AH97" i="7"/>
  <c r="AH96" i="7"/>
  <c r="AH95" i="7"/>
  <c r="AH94" i="7"/>
  <c r="AH93" i="7"/>
  <c r="AH92" i="7"/>
  <c r="AH91" i="7"/>
  <c r="AH90" i="7"/>
  <c r="AH89" i="7"/>
  <c r="AH88" i="7"/>
  <c r="AH87" i="7"/>
  <c r="AH86" i="7"/>
  <c r="AH85" i="7"/>
  <c r="AH84" i="7"/>
  <c r="AH83" i="7"/>
  <c r="AH82" i="7"/>
  <c r="AH81" i="7"/>
  <c r="AH80" i="7"/>
  <c r="AH79" i="7"/>
  <c r="AH78" i="7"/>
  <c r="AH77" i="7"/>
  <c r="AH76" i="7"/>
  <c r="AH75" i="7"/>
  <c r="AH74" i="7"/>
  <c r="AH73" i="7"/>
  <c r="AH72" i="7"/>
  <c r="AH71" i="7"/>
  <c r="AH70" i="7"/>
  <c r="AH69" i="7"/>
  <c r="AH68" i="7"/>
  <c r="AH67" i="7"/>
  <c r="AH66" i="7"/>
  <c r="AH65" i="7"/>
  <c r="AH64" i="7"/>
  <c r="AH63" i="7"/>
  <c r="AH62" i="7"/>
  <c r="AH61" i="7"/>
  <c r="AH60" i="7"/>
  <c r="AH59" i="7"/>
  <c r="AH58" i="7"/>
  <c r="AH57" i="7"/>
  <c r="AH56" i="7"/>
  <c r="AH55" i="7"/>
  <c r="AH54" i="7"/>
  <c r="AH53" i="7"/>
  <c r="AH52" i="7"/>
  <c r="AH51" i="7"/>
  <c r="AH50" i="7"/>
  <c r="AH49" i="7"/>
  <c r="AH48" i="7"/>
  <c r="AH47" i="7"/>
  <c r="AH46" i="7"/>
  <c r="AH45" i="7"/>
  <c r="AH44" i="7"/>
  <c r="AH43" i="7"/>
  <c r="AH42" i="7"/>
  <c r="AH41" i="7"/>
  <c r="AH40" i="7"/>
  <c r="AH39" i="7"/>
  <c r="AH38" i="7"/>
  <c r="AH37" i="7"/>
  <c r="AH36" i="7"/>
  <c r="AH35" i="7"/>
  <c r="AH34" i="7"/>
  <c r="AH33" i="7"/>
  <c r="AH32" i="7"/>
  <c r="AH31" i="7"/>
  <c r="AH30" i="7"/>
  <c r="AH29" i="7"/>
  <c r="AH28" i="7"/>
  <c r="AH27" i="7"/>
  <c r="AH26" i="7"/>
  <c r="AH25" i="7"/>
  <c r="AH24" i="7"/>
  <c r="AH23" i="7"/>
  <c r="AH22" i="7"/>
  <c r="AH21" i="7"/>
  <c r="AH20" i="7"/>
  <c r="AH19" i="7"/>
  <c r="AH18" i="7"/>
  <c r="AH17" i="7"/>
  <c r="AH16" i="7"/>
  <c r="AH15" i="7"/>
  <c r="AH14" i="7"/>
  <c r="AH13" i="7"/>
  <c r="AH12" i="7"/>
  <c r="AH11" i="7"/>
  <c r="AH10" i="7"/>
  <c r="AH9" i="7"/>
  <c r="AH8" i="7"/>
  <c r="AH7" i="7"/>
  <c r="AH6" i="7"/>
  <c r="AH5" i="7"/>
  <c r="AH4" i="7"/>
  <c r="AH3" i="7"/>
  <c r="AH2" i="7"/>
  <c r="AG373" i="7"/>
  <c r="AG372" i="7"/>
  <c r="AG371" i="7"/>
  <c r="AG370" i="7"/>
  <c r="AG369" i="7"/>
  <c r="AG368" i="7"/>
  <c r="AG367" i="7"/>
  <c r="AG366" i="7"/>
  <c r="AG365" i="7"/>
  <c r="AG364" i="7"/>
  <c r="AG363" i="7"/>
  <c r="AG362" i="7"/>
  <c r="AG361" i="7"/>
  <c r="AG360" i="7"/>
  <c r="AG359" i="7"/>
  <c r="AG358" i="7"/>
  <c r="AG357" i="7"/>
  <c r="AG356" i="7"/>
  <c r="AG355" i="7"/>
  <c r="AG354" i="7"/>
  <c r="AG353" i="7"/>
  <c r="AG352" i="7"/>
  <c r="AG351" i="7"/>
  <c r="AG350" i="7"/>
  <c r="AG349" i="7"/>
  <c r="AG348" i="7"/>
  <c r="AG347" i="7"/>
  <c r="AG346" i="7"/>
  <c r="AG345" i="7"/>
  <c r="AG344" i="7"/>
  <c r="AG343" i="7"/>
  <c r="AG342" i="7"/>
  <c r="AG341" i="7"/>
  <c r="AG340" i="7"/>
  <c r="AG339" i="7"/>
  <c r="AG338" i="7"/>
  <c r="AG337" i="7"/>
  <c r="AG336" i="7"/>
  <c r="AG335" i="7"/>
  <c r="AG334" i="7"/>
  <c r="AG333" i="7"/>
  <c r="AG332" i="7"/>
  <c r="AG331" i="7"/>
  <c r="AG330" i="7"/>
  <c r="AG329" i="7"/>
  <c r="AG328" i="7"/>
  <c r="AG327" i="7"/>
  <c r="AG326" i="7"/>
  <c r="AG325" i="7"/>
  <c r="AG324" i="7"/>
  <c r="AG323" i="7"/>
  <c r="AG322" i="7"/>
  <c r="AG321" i="7"/>
  <c r="AG320" i="7"/>
  <c r="AG319" i="7"/>
  <c r="AG318" i="7"/>
  <c r="AG317" i="7"/>
  <c r="AG316" i="7"/>
  <c r="AG315" i="7"/>
  <c r="AG314" i="7"/>
  <c r="AG313" i="7"/>
  <c r="AG312" i="7"/>
  <c r="AG311" i="7"/>
  <c r="AG310" i="7"/>
  <c r="AG309" i="7"/>
  <c r="AG308" i="7"/>
  <c r="AG307" i="7"/>
  <c r="AG306" i="7"/>
  <c r="AG305" i="7"/>
  <c r="AG304" i="7"/>
  <c r="AG303" i="7"/>
  <c r="AG302" i="7"/>
  <c r="AG301" i="7"/>
  <c r="AG300" i="7"/>
  <c r="AG299" i="7"/>
  <c r="AG298" i="7"/>
  <c r="AG297" i="7"/>
  <c r="AG296" i="7"/>
  <c r="AG295" i="7"/>
  <c r="AG294" i="7"/>
  <c r="AG293" i="7"/>
  <c r="AG292" i="7"/>
  <c r="AG291" i="7"/>
  <c r="AG290" i="7"/>
  <c r="AG289" i="7"/>
  <c r="AG288" i="7"/>
  <c r="AG287" i="7"/>
  <c r="AG286" i="7"/>
  <c r="AG285" i="7"/>
  <c r="AG284" i="7"/>
  <c r="AG283" i="7"/>
  <c r="AG282" i="7"/>
  <c r="AG281" i="7"/>
  <c r="AG280" i="7"/>
  <c r="AG279" i="7"/>
  <c r="AG278" i="7"/>
  <c r="AG277" i="7"/>
  <c r="AG276" i="7"/>
  <c r="AG275" i="7"/>
  <c r="AG274" i="7"/>
  <c r="AG273" i="7"/>
  <c r="AG272" i="7"/>
  <c r="AG271" i="7"/>
  <c r="AG270" i="7"/>
  <c r="AG269" i="7"/>
  <c r="AG268" i="7"/>
  <c r="AG267" i="7"/>
  <c r="AG266" i="7"/>
  <c r="AG265" i="7"/>
  <c r="AG264" i="7"/>
  <c r="AG263" i="7"/>
  <c r="AG262" i="7"/>
  <c r="AG261" i="7"/>
  <c r="AG260" i="7"/>
  <c r="AG259" i="7"/>
  <c r="AG258" i="7"/>
  <c r="AG257" i="7"/>
  <c r="AG256" i="7"/>
  <c r="AG255" i="7"/>
  <c r="AG254" i="7"/>
  <c r="AG253" i="7"/>
  <c r="AG252" i="7"/>
  <c r="AG251" i="7"/>
  <c r="AG250" i="7"/>
  <c r="AG249" i="7"/>
  <c r="AG248" i="7"/>
  <c r="AG247" i="7"/>
  <c r="AG246" i="7"/>
  <c r="AG245" i="7"/>
  <c r="AG244" i="7"/>
  <c r="AG243" i="7"/>
  <c r="AG242" i="7"/>
  <c r="AG241" i="7"/>
  <c r="AG240" i="7"/>
  <c r="AG239" i="7"/>
  <c r="AG238" i="7"/>
  <c r="AG237" i="7"/>
  <c r="AG236" i="7"/>
  <c r="AG235" i="7"/>
  <c r="AG234" i="7"/>
  <c r="AG233" i="7"/>
  <c r="AG232" i="7"/>
  <c r="AG231" i="7"/>
  <c r="AG230" i="7"/>
  <c r="AG229" i="7"/>
  <c r="AG228" i="7"/>
  <c r="AG227" i="7"/>
  <c r="AG226" i="7"/>
  <c r="AG225" i="7"/>
  <c r="AG224" i="7"/>
  <c r="AG223" i="7"/>
  <c r="AG222" i="7"/>
  <c r="AG221" i="7"/>
  <c r="AG220" i="7"/>
  <c r="AG219" i="7"/>
  <c r="AG218" i="7"/>
  <c r="AG217" i="7"/>
  <c r="AG216" i="7"/>
  <c r="AG215" i="7"/>
  <c r="AG214" i="7"/>
  <c r="AG213" i="7"/>
  <c r="AG212" i="7"/>
  <c r="AG211" i="7"/>
  <c r="AG210" i="7"/>
  <c r="AG209" i="7"/>
  <c r="AG208" i="7"/>
  <c r="AG207" i="7"/>
  <c r="AG206" i="7"/>
  <c r="AG205" i="7"/>
  <c r="AG204" i="7"/>
  <c r="AG203" i="7"/>
  <c r="AG202" i="7"/>
  <c r="AG201" i="7"/>
  <c r="AG200" i="7"/>
  <c r="AG199" i="7"/>
  <c r="AG198" i="7"/>
  <c r="AG197" i="7"/>
  <c r="AG196" i="7"/>
  <c r="AG195" i="7"/>
  <c r="AG194" i="7"/>
  <c r="AG193" i="7"/>
  <c r="AG192" i="7"/>
  <c r="AG191" i="7"/>
  <c r="AG190" i="7"/>
  <c r="AG189" i="7"/>
  <c r="AG188" i="7"/>
  <c r="AG187" i="7"/>
  <c r="AG186" i="7"/>
  <c r="AG185" i="7"/>
  <c r="AG184" i="7"/>
  <c r="AG183" i="7"/>
  <c r="AG182" i="7"/>
  <c r="AG181" i="7"/>
  <c r="AG180" i="7"/>
  <c r="AG179" i="7"/>
  <c r="AG178" i="7"/>
  <c r="AG177" i="7"/>
  <c r="AG176" i="7"/>
  <c r="AG175" i="7"/>
  <c r="AG174" i="7"/>
  <c r="AG173" i="7"/>
  <c r="AG172" i="7"/>
  <c r="AG171" i="7"/>
  <c r="AG170" i="7"/>
  <c r="AG169" i="7"/>
  <c r="AG168" i="7"/>
  <c r="AG167" i="7"/>
  <c r="AG166" i="7"/>
  <c r="AG165" i="7"/>
  <c r="AG164" i="7"/>
  <c r="AG163" i="7"/>
  <c r="AG162" i="7"/>
  <c r="AG161" i="7"/>
  <c r="AG160" i="7"/>
  <c r="AG159" i="7"/>
  <c r="AG158" i="7"/>
  <c r="AG157" i="7"/>
  <c r="AG156" i="7"/>
  <c r="AG155" i="7"/>
  <c r="AG154" i="7"/>
  <c r="AG153" i="7"/>
  <c r="AG152" i="7"/>
  <c r="AG151" i="7"/>
  <c r="AG150" i="7"/>
  <c r="AG149" i="7"/>
  <c r="AG148" i="7"/>
  <c r="AG147" i="7"/>
  <c r="AG146" i="7"/>
  <c r="AG145" i="7"/>
  <c r="AG144" i="7"/>
  <c r="AG143" i="7"/>
  <c r="AG142" i="7"/>
  <c r="AG141" i="7"/>
  <c r="AG140" i="7"/>
  <c r="AG139" i="7"/>
  <c r="AG138" i="7"/>
  <c r="AG137" i="7"/>
  <c r="AG136" i="7"/>
  <c r="AG135" i="7"/>
  <c r="AG134" i="7"/>
  <c r="AG133" i="7"/>
  <c r="AG132" i="7"/>
  <c r="AG131" i="7"/>
  <c r="AG130" i="7"/>
  <c r="AG129" i="7"/>
  <c r="AG128" i="7"/>
  <c r="AG127" i="7"/>
  <c r="AG126" i="7"/>
  <c r="AG125" i="7"/>
  <c r="AG124" i="7"/>
  <c r="AG123" i="7"/>
  <c r="AG122" i="7"/>
  <c r="AG121" i="7"/>
  <c r="AG120" i="7"/>
  <c r="AG119" i="7"/>
  <c r="AG118" i="7"/>
  <c r="AG117" i="7"/>
  <c r="AG116" i="7"/>
  <c r="AG115" i="7"/>
  <c r="AG114" i="7"/>
  <c r="AG113" i="7"/>
  <c r="AG112" i="7"/>
  <c r="AG111" i="7"/>
  <c r="AG110" i="7"/>
  <c r="AG109" i="7"/>
  <c r="AG108" i="7"/>
  <c r="AG107" i="7"/>
  <c r="AG106" i="7"/>
  <c r="AG105" i="7"/>
  <c r="AG104" i="7"/>
  <c r="AG103" i="7"/>
  <c r="AG102" i="7"/>
  <c r="AG101" i="7"/>
  <c r="AG100" i="7"/>
  <c r="AG99" i="7"/>
  <c r="AG98" i="7"/>
  <c r="AG97" i="7"/>
  <c r="AG96" i="7"/>
  <c r="AG95" i="7"/>
  <c r="AG94" i="7"/>
  <c r="AG93" i="7"/>
  <c r="AG92" i="7"/>
  <c r="AG91" i="7"/>
  <c r="AG90" i="7"/>
  <c r="AG89" i="7"/>
  <c r="AG88" i="7"/>
  <c r="AG87" i="7"/>
  <c r="AG86" i="7"/>
  <c r="AG85" i="7"/>
  <c r="AG84" i="7"/>
  <c r="AG83" i="7"/>
  <c r="AG82" i="7"/>
  <c r="AG81" i="7"/>
  <c r="AG80" i="7"/>
  <c r="AG79" i="7"/>
  <c r="AG78" i="7"/>
  <c r="AG77" i="7"/>
  <c r="AG76" i="7"/>
  <c r="AG75" i="7"/>
  <c r="AG74" i="7"/>
  <c r="AG73" i="7"/>
  <c r="AG72" i="7"/>
  <c r="AG71" i="7"/>
  <c r="AG70" i="7"/>
  <c r="AG69" i="7"/>
  <c r="AG68" i="7"/>
  <c r="AG67" i="7"/>
  <c r="AG66" i="7"/>
  <c r="AG65" i="7"/>
  <c r="AG64" i="7"/>
  <c r="AG63" i="7"/>
  <c r="AG62" i="7"/>
  <c r="AG61" i="7"/>
  <c r="AG60" i="7"/>
  <c r="AG59" i="7"/>
  <c r="AG58" i="7"/>
  <c r="AG57" i="7"/>
  <c r="AG56" i="7"/>
  <c r="AG55" i="7"/>
  <c r="AG54" i="7"/>
  <c r="AG53" i="7"/>
  <c r="AG52" i="7"/>
  <c r="AG51" i="7"/>
  <c r="AG50" i="7"/>
  <c r="AG49" i="7"/>
  <c r="AG48" i="7"/>
  <c r="AG47" i="7"/>
  <c r="AG46" i="7"/>
  <c r="AG45" i="7"/>
  <c r="AG44" i="7"/>
  <c r="AG43" i="7"/>
  <c r="AG42" i="7"/>
  <c r="AG41" i="7"/>
  <c r="AG40" i="7"/>
  <c r="AG39" i="7"/>
  <c r="AG38" i="7"/>
  <c r="AG37" i="7"/>
  <c r="AG36" i="7"/>
  <c r="AG35" i="7"/>
  <c r="AG34" i="7"/>
  <c r="AG33" i="7"/>
  <c r="AG32" i="7"/>
  <c r="AG31" i="7"/>
  <c r="AG30" i="7"/>
  <c r="AG29" i="7"/>
  <c r="AG28" i="7"/>
  <c r="AG27" i="7"/>
  <c r="AG26" i="7"/>
  <c r="AG25" i="7"/>
  <c r="AG24" i="7"/>
  <c r="AG23" i="7"/>
  <c r="AG22" i="7"/>
  <c r="AG21" i="7"/>
  <c r="AG20" i="7"/>
  <c r="AG19" i="7"/>
  <c r="AG18" i="7"/>
  <c r="AG17" i="7"/>
  <c r="AG16" i="7"/>
  <c r="AG15" i="7"/>
  <c r="AG14" i="7"/>
  <c r="AG13" i="7"/>
  <c r="AG12" i="7"/>
  <c r="AG11" i="7"/>
  <c r="AG10" i="7"/>
  <c r="AG9" i="7"/>
  <c r="AG8" i="7"/>
  <c r="AG7" i="7"/>
  <c r="AG6" i="7"/>
  <c r="AG5" i="7"/>
  <c r="AG4" i="7"/>
  <c r="AG3" i="7"/>
  <c r="AG2" i="7"/>
  <c r="AF373" i="7"/>
  <c r="AF372" i="7"/>
  <c r="AF371" i="7"/>
  <c r="AF370" i="7"/>
  <c r="AF368" i="7"/>
  <c r="AF365" i="7"/>
  <c r="AF364" i="7"/>
  <c r="AF363" i="7"/>
  <c r="AF362" i="7"/>
  <c r="AF361" i="7"/>
  <c r="AF357" i="7"/>
  <c r="AF356" i="7"/>
  <c r="AF355" i="7"/>
  <c r="AF349" i="7"/>
  <c r="AF348" i="7"/>
  <c r="AF347" i="7"/>
  <c r="AF341" i="7"/>
  <c r="AF340" i="7"/>
  <c r="AF339" i="7"/>
  <c r="AF333" i="7"/>
  <c r="AF332" i="7"/>
  <c r="AF331" i="7"/>
  <c r="AF330" i="7"/>
  <c r="AF325" i="7"/>
  <c r="AF324" i="7"/>
  <c r="AF323" i="7"/>
  <c r="AF317" i="7"/>
  <c r="AF316" i="7"/>
  <c r="AF315" i="7"/>
  <c r="AF314" i="7"/>
  <c r="AF309" i="7"/>
  <c r="AF308" i="7"/>
  <c r="AF307" i="7"/>
  <c r="AF301" i="7"/>
  <c r="AF300" i="7"/>
  <c r="AF299" i="7"/>
  <c r="AF298" i="7"/>
  <c r="AF296" i="7"/>
  <c r="AF293" i="7"/>
  <c r="AF292" i="7"/>
  <c r="AF291" i="7"/>
  <c r="AF285" i="7"/>
  <c r="AF284" i="7"/>
  <c r="AF283" i="7"/>
  <c r="AF277" i="7"/>
  <c r="AF276" i="7"/>
  <c r="AF275" i="7"/>
  <c r="AF268" i="7"/>
  <c r="AF267" i="7"/>
  <c r="AF266" i="7"/>
  <c r="AF261" i="7"/>
  <c r="AF259" i="7"/>
  <c r="AF253" i="7"/>
  <c r="AF252" i="7"/>
  <c r="AF251" i="7"/>
  <c r="AF245" i="7"/>
  <c r="AF244" i="7"/>
  <c r="AF243" i="7"/>
  <c r="AF237" i="7"/>
  <c r="AF236" i="7"/>
  <c r="AF235" i="7"/>
  <c r="AF229" i="7"/>
  <c r="AF228" i="7"/>
  <c r="AF227" i="7"/>
  <c r="AF226" i="7"/>
  <c r="AF221" i="7"/>
  <c r="AF220" i="7"/>
  <c r="AF219" i="7"/>
  <c r="AF213" i="7"/>
  <c r="AF212" i="7"/>
  <c r="AF211" i="7"/>
  <c r="AF210" i="7"/>
  <c r="AF205" i="7"/>
  <c r="AF204" i="7"/>
  <c r="AF203" i="7"/>
  <c r="AF197" i="7"/>
  <c r="AF196" i="7"/>
  <c r="AF195" i="7"/>
  <c r="AF189" i="7"/>
  <c r="AF188" i="7"/>
  <c r="AF187" i="7"/>
  <c r="AF181" i="7"/>
  <c r="AF180" i="7"/>
  <c r="AF179" i="7"/>
  <c r="AF173" i="7"/>
  <c r="AF172" i="7"/>
  <c r="AF171" i="7"/>
  <c r="AF165" i="7"/>
  <c r="AF164" i="7"/>
  <c r="AF163" i="7"/>
  <c r="AF162" i="7"/>
  <c r="AF161" i="7"/>
  <c r="AF157" i="7"/>
  <c r="AF156" i="7"/>
  <c r="AF155" i="7"/>
  <c r="AF154" i="7"/>
  <c r="AF149" i="7"/>
  <c r="AF148" i="7"/>
  <c r="AF147" i="7"/>
  <c r="AF146" i="7"/>
  <c r="AF141" i="7"/>
  <c r="AF140" i="7"/>
  <c r="AF139" i="7"/>
  <c r="AF138" i="7"/>
  <c r="AF133" i="7"/>
  <c r="AF132" i="7"/>
  <c r="AF131" i="7"/>
  <c r="AF125" i="7"/>
  <c r="AF124" i="7"/>
  <c r="AF123" i="7"/>
  <c r="AF117" i="7"/>
  <c r="AF116" i="7"/>
  <c r="AF115" i="7"/>
  <c r="AF109" i="7"/>
  <c r="AF108" i="7"/>
  <c r="AF107" i="7"/>
  <c r="AF101" i="7"/>
  <c r="AF100" i="7"/>
  <c r="AF99" i="7"/>
  <c r="AF98" i="7"/>
  <c r="AF93" i="7"/>
  <c r="AF92" i="7"/>
  <c r="AF91" i="7"/>
  <c r="AF85" i="7"/>
  <c r="AF84" i="7"/>
  <c r="AF83" i="7"/>
  <c r="AF82" i="7"/>
  <c r="AF77" i="7"/>
  <c r="AF76" i="7"/>
  <c r="AF75" i="7"/>
  <c r="AF69" i="7"/>
  <c r="AF68" i="7"/>
  <c r="AF67" i="7"/>
  <c r="AF61" i="7"/>
  <c r="AF60" i="7"/>
  <c r="AF59" i="7"/>
  <c r="AF53" i="7"/>
  <c r="AF52" i="7"/>
  <c r="AF51" i="7"/>
  <c r="AF45" i="7"/>
  <c r="AF44" i="7"/>
  <c r="AF43" i="7"/>
  <c r="AF42" i="7"/>
  <c r="AF37" i="7"/>
  <c r="AF36" i="7"/>
  <c r="AF35" i="7"/>
  <c r="AF29" i="7"/>
  <c r="AF28" i="7"/>
  <c r="AF27" i="7"/>
  <c r="AF26" i="7"/>
  <c r="AF21" i="7"/>
  <c r="AF20" i="7"/>
  <c r="AF19" i="7"/>
  <c r="AF13" i="7"/>
  <c r="AF12" i="7"/>
  <c r="AF11" i="7"/>
  <c r="AF10" i="7"/>
  <c r="AF5" i="7"/>
  <c r="AF4" i="7"/>
  <c r="AF3" i="7"/>
  <c r="AF2" i="7" l="1"/>
  <c r="F17" i="10"/>
  <c r="E17" i="10"/>
  <c r="F15" i="10"/>
  <c r="E14" i="10"/>
  <c r="E16" i="10"/>
  <c r="F16" i="10"/>
  <c r="E15" i="10"/>
  <c r="F14" i="10"/>
  <c r="F12" i="10"/>
  <c r="E12" i="10"/>
  <c r="E11" i="10"/>
  <c r="F9" i="10"/>
  <c r="F10" i="10"/>
  <c r="F11" i="10"/>
  <c r="E10" i="10"/>
  <c r="E9" i="10"/>
  <c r="G14" i="10" l="1"/>
  <c r="G11" i="10"/>
  <c r="G12" i="10"/>
  <c r="G17" i="10"/>
  <c r="G10" i="10"/>
  <c r="G9" i="10"/>
  <c r="G15" i="10"/>
  <c r="G16" i="10"/>
  <c r="AF265" i="7"/>
  <c r="AF264" i="7"/>
  <c r="AF263" i="7"/>
</calcChain>
</file>

<file path=xl/sharedStrings.xml><?xml version="1.0" encoding="utf-8"?>
<sst xmlns="http://schemas.openxmlformats.org/spreadsheetml/2006/main" count="2800" uniqueCount="156">
  <si>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</si>
  <si>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</si>
  <si>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</si>
  <si>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</si>
  <si>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</si>
  <si>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</si>
  <si>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</si>
  <si>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</si>
  <si>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</si>
  <si>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</si>
  <si>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</si>
  <si>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</si>
  <si>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</si>
  <si>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</si>
  <si>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</si>
  <si>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</si>
  <si>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</si>
  <si>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Food</t>
  </si>
  <si>
    <t>Clothing</t>
  </si>
  <si>
    <t>Footwear</t>
  </si>
  <si>
    <t>Clothing and footwear</t>
  </si>
  <si>
    <t>Apparels</t>
  </si>
  <si>
    <t>Housing</t>
  </si>
  <si>
    <t>Fuel and light</t>
  </si>
  <si>
    <t>Household goods and services</t>
  </si>
  <si>
    <t>Home</t>
  </si>
  <si>
    <t>Health</t>
  </si>
  <si>
    <t>Transport and communication</t>
  </si>
  <si>
    <t>Recreation and amusement</t>
  </si>
  <si>
    <t>Education</t>
  </si>
  <si>
    <t>Personal care and effects</t>
  </si>
  <si>
    <t>Miscellaneous</t>
  </si>
  <si>
    <t>General index</t>
  </si>
  <si>
    <t>Rural</t>
  </si>
  <si>
    <t>May</t>
  </si>
  <si>
    <t>-</t>
  </si>
  <si>
    <t>Urban</t>
  </si>
  <si>
    <t>Rural+Urban</t>
  </si>
  <si>
    <t>Row Labels</t>
  </si>
  <si>
    <t>Transport</t>
  </si>
  <si>
    <t>Recreation</t>
  </si>
  <si>
    <t>Grand Total</t>
  </si>
  <si>
    <t>January</t>
  </si>
  <si>
    <t>NA</t>
  </si>
  <si>
    <t>February</t>
  </si>
  <si>
    <t>March</t>
  </si>
  <si>
    <t>April</t>
  </si>
  <si>
    <t>June</t>
  </si>
  <si>
    <t>July</t>
  </si>
  <si>
    <t>August</t>
  </si>
  <si>
    <t>September</t>
  </si>
  <si>
    <t>October</t>
  </si>
  <si>
    <t xml:space="preserve">November </t>
  </si>
  <si>
    <t>November</t>
  </si>
  <si>
    <t>December</t>
  </si>
  <si>
    <t>Marcrh</t>
  </si>
  <si>
    <t>Broader Category</t>
  </si>
  <si>
    <t>Category</t>
  </si>
  <si>
    <t>Misc</t>
  </si>
  <si>
    <t>Does not come under any category</t>
  </si>
  <si>
    <t>Broader Cat</t>
  </si>
  <si>
    <t>Health Care</t>
  </si>
  <si>
    <t>Education Index</t>
  </si>
  <si>
    <t>Sum</t>
  </si>
  <si>
    <t>Contribution %</t>
  </si>
  <si>
    <t>May-23</t>
  </si>
  <si>
    <t>Inflation</t>
  </si>
  <si>
    <t>Sum of Food</t>
  </si>
  <si>
    <t>Year - Month</t>
  </si>
  <si>
    <t>2022 - August</t>
  </si>
  <si>
    <t>2022 - December</t>
  </si>
  <si>
    <t>2022 - July</t>
  </si>
  <si>
    <t>2022 - June</t>
  </si>
  <si>
    <t>2022 - May</t>
  </si>
  <si>
    <t>2022 - November</t>
  </si>
  <si>
    <t>2022 - October</t>
  </si>
  <si>
    <t>2022 - September</t>
  </si>
  <si>
    <t>2023 - April</t>
  </si>
  <si>
    <t>2023 - February</t>
  </si>
  <si>
    <t>2023 - January</t>
  </si>
  <si>
    <t>2023 - March</t>
  </si>
  <si>
    <t>2023 - May</t>
  </si>
  <si>
    <t>CPI</t>
  </si>
  <si>
    <t>2021 - April</t>
  </si>
  <si>
    <t>2021 - August</t>
  </si>
  <si>
    <t>2021 - December</t>
  </si>
  <si>
    <t>2021 - February</t>
  </si>
  <si>
    <t>2021 - January</t>
  </si>
  <si>
    <t>2021 - July</t>
  </si>
  <si>
    <t>2021 - June</t>
  </si>
  <si>
    <t>2021 - March</t>
  </si>
  <si>
    <t>2021 - May</t>
  </si>
  <si>
    <t>2021 - November</t>
  </si>
  <si>
    <t>2021 - October</t>
  </si>
  <si>
    <t>2021 - September</t>
  </si>
  <si>
    <t>2022 - April</t>
  </si>
  <si>
    <t>2022 - February</t>
  </si>
  <si>
    <t>2022 - January</t>
  </si>
  <si>
    <t>2022 - March</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</si>
  <si>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</si>
  <si>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</si>
  <si>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</si>
  <si>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</si>
  <si>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</si>
  <si>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</si>
  <si>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</si>
  <si>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</si>
  <si>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</si>
  <si>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</si>
  <si>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</si>
  <si>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</si>
  <si>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</si>
  <si>
    <t>Sum of Pan, tobacco and intoxicants</t>
  </si>
  <si>
    <t>Starting month</t>
  </si>
  <si>
    <t>Ending Month</t>
  </si>
  <si>
    <t>Pre/ Post</t>
  </si>
  <si>
    <t>Pre</t>
  </si>
  <si>
    <t>Post</t>
  </si>
  <si>
    <t>CPI- End</t>
  </si>
  <si>
    <t>CPI - Start</t>
  </si>
  <si>
    <t>Imported Crude oil price</t>
  </si>
  <si>
    <t>Correlation</t>
  </si>
  <si>
    <t>***Formula for Calculating Annual Inflation   ---&gt;  ((CPI at end of year- CPI at start of the year)/CPI at start of the year)*100</t>
  </si>
  <si>
    <t>There is more change of General Index CPI between January and December for the year 2019 compared to other years of same time period. Hence the inflation rate is higher for 2019.</t>
  </si>
  <si>
    <t>`</t>
  </si>
  <si>
    <t>For the 4th problem statement I choose to calculate inflation  of pre and post covid period on Quarterly basis</t>
  </si>
  <si>
    <t>COVID - 19 Affecting Inflation Rates In India</t>
  </si>
  <si>
    <t xml:space="preserve">Actionable Recommendation:  </t>
  </si>
  <si>
    <t>1. The increase in GST for food category is one of the reasons for raise in inflation. Hence the government should take this into consideration and impose reasonable taxes.</t>
  </si>
  <si>
    <t>2. Increase in cost of fertilizers, pestisides, seeds, diesel etc can also cause inflation as these prices will be passed on to consumers. The government should provide schemes favourable to farmers which encourages them to do more farming.</t>
  </si>
  <si>
    <t xml:space="preserve">3. Lower supply and high demand cause for increase in prices. Due to weather changes and natural calamities sometimes the supply gets lower. To address this problem, few foods should be stored for future use. </t>
  </si>
  <si>
    <r>
      <rPr>
        <b/>
        <sz val="11"/>
        <color theme="1"/>
        <rFont val="Calibri"/>
        <family val="2"/>
        <scheme val="minor"/>
      </rPr>
      <t>Observation:</t>
    </r>
    <r>
      <rPr>
        <sz val="11"/>
        <color theme="1"/>
        <rFont val="Calibri"/>
        <family val="2"/>
        <scheme val="minor"/>
      </rPr>
      <t xml:space="preserve"> From the above pie chart and pivot table I can say that Food is the broader category that has more CPI Inflation and Transport is the category with low CPI Inflation.</t>
    </r>
  </si>
  <si>
    <r>
      <rPr>
        <b/>
        <sz val="11"/>
        <color theme="1"/>
        <rFont val="Calibri"/>
        <family val="2"/>
        <scheme val="minor"/>
      </rPr>
      <t>Insights:</t>
    </r>
    <r>
      <rPr>
        <sz val="11"/>
        <color theme="1"/>
        <rFont val="Calibri"/>
        <family val="2"/>
        <scheme val="minor"/>
      </rPr>
      <t xml:space="preserve"> Food contributed 53% of raise in CPI Inflation while Apparels and Home contributed 12%. The rest of the broader categories contributed almost the same 4% raise ininflation</t>
    </r>
  </si>
  <si>
    <t>Observation:</t>
  </si>
  <si>
    <r>
      <t xml:space="preserve">Observation: </t>
    </r>
    <r>
      <rPr>
        <sz val="11"/>
        <color theme="1"/>
        <rFont val="Calibri"/>
        <family val="2"/>
        <scheme val="minor"/>
      </rPr>
      <t>The trend from year 2018 to 2019 got the highest Inflation rate.</t>
    </r>
  </si>
  <si>
    <t>Actionable Recommendation:</t>
  </si>
  <si>
    <r>
      <t>Actionable Recommendation:</t>
    </r>
    <r>
      <rPr>
        <sz val="11"/>
        <color theme="1"/>
        <rFont val="Calibri"/>
        <family val="2"/>
        <scheme val="minor"/>
      </rPr>
      <t xml:space="preserve"> The general index CPI has increased a lot in the months May, July, October, November and December. As this general index is the average of all categories, few categories such as meat, egg, fruits and vegetables has sharp</t>
    </r>
  </si>
  <si>
    <t xml:space="preserve"> raise in prices. This might be because of raise in transportation charges, imported fruits and vegetables etc. If the local grown foods are promoted more then there might be a reduction in inflation.</t>
  </si>
  <si>
    <t xml:space="preserve">Actionable Recommendation: </t>
  </si>
  <si>
    <t>There is a decrease in 2022 December because the CPI index of Fruits, vegetables and beverages  has decreased a lot from November 2022 to December 2022 which in turn led to lowest food inflation.</t>
  </si>
  <si>
    <r>
      <t xml:space="preserve">Observation: </t>
    </r>
    <r>
      <rPr>
        <sz val="11"/>
        <color theme="1"/>
        <rFont val="Calibri"/>
        <family val="2"/>
        <scheme val="minor"/>
      </rPr>
      <t>Highest food inflation occurred in June 2022 and lowest food inflation occurred in December 2022.</t>
    </r>
  </si>
  <si>
    <r>
      <t xml:space="preserve">Insights:  </t>
    </r>
    <r>
      <rPr>
        <sz val="11"/>
        <color theme="1"/>
        <rFont val="Calibri"/>
        <family val="2"/>
        <scheme val="minor"/>
      </rPr>
      <t>There is a sharp raise in 2022 June because the CPI index of Egg, Spices and vegetables has increased a lot from may 2022 to June 2022 which in turn led to highest food inflation.</t>
    </r>
  </si>
  <si>
    <t>As Eggs and Spices are not widely available at low prices, the CPI Index might be increased. There might be also a short of farming in vegetables. Hence vegetables must be imported from other states during this time.</t>
  </si>
  <si>
    <t>Lowest food inflation occurred in December 2022 which is not a bad indicator for inflation.</t>
  </si>
  <si>
    <t>Observation :</t>
  </si>
  <si>
    <t>Spices caused the highest inflation among the food categories</t>
  </si>
  <si>
    <t xml:space="preserve">The trees of spices are grown in hill areas. Therefore the government should support the growth of spice trees and also allocate more land and encourage to establish more factories in that area. </t>
  </si>
  <si>
    <t>If the production of spices increases, automatically the price and cpi index decreases.</t>
  </si>
  <si>
    <t>There is a raise in  CPI inflation post covid-19</t>
  </si>
  <si>
    <t xml:space="preserve">Insights: </t>
  </si>
  <si>
    <t>The CPI index has raised for food, apparels and transport categories.</t>
  </si>
  <si>
    <t>Actionable recommendations:</t>
  </si>
  <si>
    <t>As food, apparels and transport are basic necessities, taxes on them can be reduced taking the pandemic into consideration.</t>
  </si>
  <si>
    <r>
      <t xml:space="preserve">Observation: </t>
    </r>
    <r>
      <rPr>
        <sz val="12"/>
        <color theme="1"/>
        <rFont val="Calibri"/>
        <family val="2"/>
        <scheme val="minor"/>
      </rPr>
      <t>Oils and fats, Meat and fish has high correlation coefficient when calculated with crude oil price.</t>
    </r>
  </si>
  <si>
    <r>
      <rPr>
        <b/>
        <sz val="11"/>
        <color theme="1"/>
        <rFont val="Calibri"/>
        <family val="2"/>
        <scheme val="minor"/>
      </rPr>
      <t>Actionable recommendations:</t>
    </r>
    <r>
      <rPr>
        <sz val="11"/>
        <color theme="1"/>
        <rFont val="Calibri"/>
        <family val="2"/>
        <scheme val="minor"/>
      </rPr>
      <t xml:space="preserve"> The import costs of crude oil price is higher. As crude oil price is refined into petrol, diesel, kerosene etc., if the vehicles using petrol gets converted to Evs, the use of petrol gets reduced. </t>
    </r>
  </si>
  <si>
    <t>Hence the importing quantity of crude oil price also decreases.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</si>
</sst>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333333"/>
      <name val="Calibri"/>
      <family val="2"/>
      <scheme val="minor"/>
    </font>
    <font>
      <b/>
      <sz val="12"/>
      <color theme="1"/>
      <name val="Calibri"/>
      <family val="2"/>
      <scheme val="minor"/>
    </font>
    <font>
      <b/>
      <sz val="14"/>
      <color theme="9" tint="-0.499984740745262"/>
      <name val="Calibri"/>
      <family val="2"/>
      <scheme val="minor"/>
    </font>
    <font>
      <b/>
      <sz val="14"/>
      <color rgb="FFFF0000"/>
      <name val="Calibri"/>
      <family val="2"/>
      <scheme val="minor"/>
    </font>
    <font>
      <b/>
      <sz val="16"/>
      <color theme="1"/>
      <name val="Calibri"/>
      <family val="2"/>
      <scheme val="minor"/>
    </font>
    <font>
      <sz val="12"/>
      <color theme="1"/>
      <name val="Calibri"/>
      <family val="2"/>
      <scheme val="minor"/>
    </font>
    <font>
      <sz val="14"/>
      <color rgb="FF0000FF"/>
      <name val="Calibri"/>
      <family val="2"/>
      <scheme val="minor"/>
    </font>
    <font>
      <sz val="11"/>
      <color rgb="FFC00000"/>
      <name val="Calibri"/>
      <family val="2"/>
      <scheme val="minor"/>
    </font>
    <font>
      <sz val="14"/>
      <color rgb="FFC00000"/>
      <name val="Calibri"/>
      <family val="2"/>
      <scheme val="minor"/>
    </font>
    <font>
      <sz val="14"/>
      <color theme="1"/>
      <name val="Calibri"/>
      <family val="2"/>
      <scheme val="minor"/>
    </font>
    <font>
      <sz val="20"/>
      <color theme="1"/>
      <name val="Berlin Sans FB Demi"/>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theme="9" tint="0.39997558519241921"/>
        <bgColor indexed="64"/>
      </patternFill>
    </fill>
    <fill>
      <patternFill patternType="solid">
        <fgColor theme="6"/>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9" fontId="0" fillId="0" borderId="0" xfId="0" applyNumberFormat="1"/>
    <xf numFmtId="0" fontId="0" fillId="0" borderId="0" xfId="0" pivotButton="1"/>
    <xf numFmtId="0" fontId="0" fillId="0" borderId="0" xfId="0" applyAlignment="1">
      <alignment horizontal="left"/>
    </xf>
    <xf numFmtId="17" fontId="0" fillId="0" borderId="0" xfId="0" applyNumberFormat="1"/>
    <xf numFmtId="2" fontId="0" fillId="0" borderId="0" xfId="1" applyNumberFormat="1" applyFont="1"/>
    <xf numFmtId="0" fontId="0" fillId="33" borderId="0" xfId="0" applyFill="1"/>
    <xf numFmtId="1" fontId="0" fillId="0" borderId="0" xfId="0" applyNumberFormat="1"/>
    <xf numFmtId="0" fontId="0" fillId="0" borderId="0" xfId="0" applyAlignment="1">
      <alignment vertical="top"/>
    </xf>
    <xf numFmtId="0" fontId="0" fillId="0" borderId="10" xfId="0" applyBorder="1"/>
    <xf numFmtId="0" fontId="0" fillId="35" borderId="0" xfId="0" applyFill="1" applyAlignment="1">
      <alignment horizontal="left"/>
    </xf>
    <xf numFmtId="0" fontId="0" fillId="36" borderId="10" xfId="0" applyFill="1" applyBorder="1"/>
    <xf numFmtId="0" fontId="20" fillId="37" borderId="10" xfId="0" applyFont="1" applyFill="1" applyBorder="1" applyAlignment="1">
      <alignment vertical="top"/>
    </xf>
    <xf numFmtId="0" fontId="0" fillId="34" borderId="10" xfId="0" applyFill="1" applyBorder="1"/>
    <xf numFmtId="9" fontId="0" fillId="34" borderId="10" xfId="0" applyNumberFormat="1" applyFill="1" applyBorder="1"/>
    <xf numFmtId="9" fontId="0" fillId="0" borderId="10" xfId="1" applyFont="1" applyBorder="1"/>
    <xf numFmtId="0" fontId="16" fillId="33" borderId="10" xfId="0" applyFont="1" applyFill="1" applyBorder="1"/>
    <xf numFmtId="0" fontId="16" fillId="33" borderId="10" xfId="0" applyFont="1" applyFill="1" applyBorder="1" applyAlignment="1">
      <alignment horizontal="left"/>
    </xf>
    <xf numFmtId="0" fontId="21" fillId="0" borderId="0" xfId="0" applyFont="1" applyAlignment="1">
      <alignment vertical="top"/>
    </xf>
    <xf numFmtId="0" fontId="22" fillId="0" borderId="0" xfId="0" applyFont="1"/>
    <xf numFmtId="10" fontId="0" fillId="0" borderId="10" xfId="1" applyNumberFormat="1" applyFont="1" applyBorder="1"/>
    <xf numFmtId="0" fontId="23" fillId="33" borderId="10" xfId="0" applyFont="1" applyFill="1" applyBorder="1"/>
    <xf numFmtId="0" fontId="17" fillId="38" borderId="0" xfId="0" applyFont="1" applyFill="1"/>
    <xf numFmtId="0" fontId="17" fillId="39" borderId="0" xfId="0" applyFont="1" applyFill="1"/>
    <xf numFmtId="0" fontId="17" fillId="39" borderId="0" xfId="0" applyFont="1" applyFill="1" applyAlignment="1">
      <alignment horizontal="left"/>
    </xf>
    <xf numFmtId="0" fontId="0" fillId="40" borderId="0" xfId="0" applyFill="1"/>
    <xf numFmtId="0" fontId="0" fillId="40" borderId="0" xfId="0" applyFill="1" applyAlignment="1">
      <alignment horizontal="left"/>
    </xf>
    <xf numFmtId="0" fontId="0" fillId="40" borderId="0" xfId="0" applyFill="1" applyAlignment="1">
      <alignment horizontal="left" indent="1"/>
    </xf>
    <xf numFmtId="49" fontId="0" fillId="40" borderId="0" xfId="0" applyNumberFormat="1" applyFill="1" applyAlignment="1">
      <alignment horizontal="left"/>
    </xf>
    <xf numFmtId="0" fontId="24" fillId="36" borderId="10" xfId="0" applyFont="1" applyFill="1" applyBorder="1"/>
    <xf numFmtId="164" fontId="0" fillId="0" borderId="0" xfId="0" applyNumberFormat="1"/>
    <xf numFmtId="165" fontId="0" fillId="0" borderId="10" xfId="0" applyNumberFormat="1" applyBorder="1"/>
    <xf numFmtId="0" fontId="0" fillId="41" borderId="10" xfId="0" applyFill="1" applyBorder="1" applyAlignment="1">
      <alignment horizontal="right"/>
    </xf>
    <xf numFmtId="0" fontId="0" fillId="41" borderId="10" xfId="0" applyFill="1" applyBorder="1"/>
    <xf numFmtId="17" fontId="0" fillId="35" borderId="10" xfId="0" applyNumberFormat="1" applyFill="1" applyBorder="1"/>
    <xf numFmtId="0" fontId="0" fillId="35" borderId="10" xfId="0" applyFill="1" applyBorder="1"/>
    <xf numFmtId="165" fontId="0" fillId="35" borderId="10" xfId="1" applyNumberFormat="1" applyFont="1" applyFill="1" applyBorder="1"/>
    <xf numFmtId="164" fontId="0" fillId="35" borderId="10" xfId="0" applyNumberFormat="1" applyFill="1" applyBorder="1"/>
    <xf numFmtId="17" fontId="0" fillId="42" borderId="10" xfId="0" applyNumberFormat="1" applyFill="1" applyBorder="1"/>
    <xf numFmtId="0" fontId="25" fillId="0" borderId="0" xfId="0" applyFont="1" applyAlignment="1">
      <alignment vertical="top"/>
    </xf>
    <xf numFmtId="2" fontId="0" fillId="44" borderId="0" xfId="0" applyNumberFormat="1" applyFill="1"/>
    <xf numFmtId="0" fontId="0" fillId="44" borderId="0" xfId="0" applyFill="1"/>
    <xf numFmtId="2" fontId="0" fillId="45" borderId="0" xfId="0" applyNumberFormat="1" applyFill="1"/>
    <xf numFmtId="2" fontId="19" fillId="45" borderId="0" xfId="0" applyNumberFormat="1" applyFont="1" applyFill="1"/>
    <xf numFmtId="4" fontId="19" fillId="45" borderId="0" xfId="0" applyNumberFormat="1" applyFont="1" applyFill="1"/>
    <xf numFmtId="0" fontId="0" fillId="45" borderId="0" xfId="0" applyFill="1"/>
    <xf numFmtId="0" fontId="26" fillId="33" borderId="0" xfId="0" applyFont="1" applyFill="1"/>
    <xf numFmtId="17" fontId="26" fillId="33" borderId="0" xfId="0" applyNumberFormat="1" applyFont="1" applyFill="1"/>
    <xf numFmtId="0" fontId="27" fillId="33" borderId="0" xfId="0" applyFont="1" applyFill="1"/>
    <xf numFmtId="0" fontId="28" fillId="0" borderId="0" xfId="0" applyFont="1"/>
    <xf numFmtId="0" fontId="24" fillId="43" borderId="0" xfId="0" applyFont="1" applyFill="1"/>
    <xf numFmtId="0" fontId="29" fillId="0" borderId="0" xfId="0" applyFont="1"/>
    <xf numFmtId="0" fontId="0" fillId="33" borderId="10" xfId="0" applyFill="1" applyBorder="1"/>
    <xf numFmtId="0" fontId="16" fillId="0" borderId="0" xfId="0" applyFont="1"/>
    <xf numFmtId="0" fontId="20" fillId="0" borderId="0" xfId="0" applyFont="1"/>
    <xf numFmtId="0" fontId="16"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1">
    <dxf>
      <fill>
        <patternFill>
          <bgColor theme="4" tint="-0.249977111117893"/>
        </patternFill>
      </fill>
    </dxf>
    <dxf>
      <fill>
        <patternFill>
          <bgColor theme="4" tint="-0.249977111117893"/>
        </patternFill>
      </fill>
    </dxf>
    <dxf>
      <font>
        <color theme="0"/>
      </font>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30" formatCode="@"/>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patternType="solid">
          <bgColor theme="8" tint="0.39997558519241921"/>
        </patternFill>
      </fill>
    </dxf>
    <dxf>
      <numFmt numFmtId="13" formatCode="0%"/>
    </dxf>
    <dxf>
      <fill>
        <patternFill>
          <bgColor theme="5" tint="0.59999389629810485"/>
        </patternFill>
      </fill>
    </dxf>
    <dxf>
      <fill>
        <patternFill>
          <bgColor theme="5" tint="0.59999389629810485"/>
        </patternFill>
      </fill>
    </dxf>
    <dxf>
      <numFmt numFmtId="13" formatCode="0%"/>
    </dxf>
    <dxf>
      <numFmt numFmtId="1" formatCode="0"/>
    </dxf>
    <dxf>
      <numFmt numFmtId="13" formatCode="0%"/>
    </dxf>
    <dxf>
      <numFmt numFmtId="1" formatCode="0"/>
    </dxf>
    <dxf>
      <numFmt numFmtId="13" formatCode="0%"/>
    </dxf>
    <dxf>
      <numFmt numFmtId="1" formatCode="0"/>
    </dxf>
    <dxf>
      <numFmt numFmtId="1" formatCode="0"/>
    </dxf>
    <dxf>
      <numFmt numFmtId="1" formatCode="0"/>
    </dxf>
    <dxf>
      <numFmt numFmtId="1" formatCode="0"/>
    </dxf>
    <dxf>
      <numFmt numFmtId="13" formatCode="0%"/>
    </dxf>
    <dxf>
      <numFmt numFmtId="14" formatCode="0.00%"/>
    </dxf>
    <dxf>
      <numFmt numFmtId="13" formatCode="0%"/>
    </dxf>
    <dxf>
      <numFmt numFmtId="13" formatCode="0%"/>
    </dxf>
  </dxfs>
  <tableStyles count="0" defaultTableStyle="TableStyleMedium2" defaultPivotStyle="PivotStyleLight16"/>
  <colors>
    <mruColors>
      <color rgb="FF0000FF"/>
      <color rgb="FFCC9900"/>
      <color rgb="FFFF6699"/>
      <color rgb="FFFFCC00"/>
      <color rgb="FFFF9933"/>
      <color rgb="FFFF7C8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[All_India_Index_Upto_April2023.xlsx]Solution 1!PivotTable8</c:name>
    <c:fmtId val="8"/>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800" b="1">
                <a:solidFill>
                  <a:srgbClr val="FF0000"/>
                </a:solidFill>
              </a:rPr>
              <a:t>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'Solution 1'!$B$6:$B$8</c:f>
              <c:strCache>
                <c:ptCount val="1"/>
                <c:pt idx="0">
                  <c:v>Rural - Sum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5DD-4131-AFA4-F11DADEAFB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5DD-4131-AFA4-F11DADEAFB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5DD-4131-AFA4-F11DADEAFB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5DD-4131-AFA4-F11DADEAFB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5DD-4131-AFA4-F11DADEAFB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5DD-4131-AFA4-F11DADEAFB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5DD-4131-AFA4-F11DADEAFB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5DD-4131-AFA4-F11DADEAFB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5DD-4131-AFA4-F11DADEAFB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1'!$B$9:$B$18</c:f>
              <c:numCache>
                <c:formatCode>0</c:formatCode>
                <c:ptCount val="9"/>
                <c:pt idx="0">
                  <c:v>569.90000000000009</c:v>
                </c:pt>
                <c:pt idx="1">
                  <c:v>179.8</c:v>
                </c:pt>
                <c:pt idx="2">
                  <c:v>180.3</c:v>
                </c:pt>
                <c:pt idx="3">
                  <c:v>2490.6000000000008</c:v>
                </c:pt>
                <c:pt idx="4">
                  <c:v>372.70000000000005</c:v>
                </c:pt>
                <c:pt idx="5">
                  <c:v>362.3</c:v>
                </c:pt>
                <c:pt idx="6">
                  <c:v>179.5</c:v>
                </c:pt>
                <c:pt idx="7">
                  <c:v>173.8</c:v>
                </c:pt>
                <c:pt idx="8">
                  <c:v>169.7</c:v>
                </c:pt>
              </c:numCache>
            </c:numRef>
          </c:val>
          <c:extLst>
            <c:ext xmlns:c16="http://schemas.microsoft.com/office/drawing/2014/chart" uri="{C3380CC4-5D6E-409C-BE32-E72D297353CC}">
              <c16:uniqueId val="{00000000-8E86-49A0-B57D-44C14EBC7E68}"/>
            </c:ext>
          </c:extLst>
        </c:ser>
        <c:ser>
          <c:idx val="1"/>
          <c:order val="1"/>
          <c:tx>
            <c:strRef>
              <c:f>'Solution 1'!$C$6:$C$8</c:f>
              <c:strCache>
                <c:ptCount val="1"/>
                <c:pt idx="0">
                  <c:v>Rural - Contribution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95DD-4131-AFA4-F11DADEAFB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95DD-4131-AFA4-F11DADEAFB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95DD-4131-AFA4-F11DADEAFB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95DD-4131-AFA4-F11DADEAFB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B-95DD-4131-AFA4-F11DADEAFB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D-95DD-4131-AFA4-F11DADEAFB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5DD-4131-AFA4-F11DADEAFB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5DD-4131-AFA4-F11DADEAFB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5DD-4131-AFA4-F11DADEAFBC5}"/>
              </c:ext>
            </c:extLst>
          </c:dPt>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1'!$C$9:$C$18</c:f>
              <c:numCache>
                <c:formatCode>0%</c:formatCode>
                <c:ptCount val="9"/>
                <c:pt idx="0">
                  <c:v>0.12180994314538536</c:v>
                </c:pt>
                <c:pt idx="1">
                  <c:v>3.8430299662292132E-2</c:v>
                </c:pt>
                <c:pt idx="2">
                  <c:v>3.8537169238661129E-2</c:v>
                </c:pt>
                <c:pt idx="3">
                  <c:v>0.53233873380925922</c:v>
                </c:pt>
                <c:pt idx="4">
                  <c:v>7.966058222545204E-2</c:v>
                </c:pt>
                <c:pt idx="5">
                  <c:v>7.7437695036976853E-2</c:v>
                </c:pt>
                <c:pt idx="6">
                  <c:v>3.8366177916470727E-2</c:v>
                </c:pt>
                <c:pt idx="7">
                  <c:v>3.7147864745864137E-2</c:v>
                </c:pt>
                <c:pt idx="8">
                  <c:v>3.6271534219638343E-2</c:v>
                </c:pt>
              </c:numCache>
            </c:numRef>
          </c:val>
          <c:extLst>
            <c:ext xmlns:c16="http://schemas.microsoft.com/office/drawing/2014/chart" uri="{C3380CC4-5D6E-409C-BE32-E72D297353CC}">
              <c16:uniqueId val="{00000001-8E86-49A0-B57D-44C14EBC7E68}"/>
            </c:ext>
          </c:extLst>
        </c:ser>
        <c:ser>
          <c:idx val="2"/>
          <c:order val="2"/>
          <c:tx>
            <c:strRef>
              <c:f>'Solution 1'!$D$6:$D$8</c:f>
              <c:strCache>
                <c:ptCount val="1"/>
                <c:pt idx="0">
                  <c:v>Rural+Urban - Sum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FD69-4D97-9983-FD87F4FC777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FD69-4D97-9983-FD87F4FC777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FD69-4D97-9983-FD87F4FC777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B-FD69-4D97-9983-FD87F4FC777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D-FD69-4D97-9983-FD87F4FC777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F-FD69-4D97-9983-FD87F4FC777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FD69-4D97-9983-FD87F4FC777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FD69-4D97-9983-FD87F4FC777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FD69-4D97-9983-FD87F4FC7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1'!$D$9:$D$18</c:f>
              <c:numCache>
                <c:formatCode>0</c:formatCode>
                <c:ptCount val="9"/>
                <c:pt idx="0">
                  <c:v>553.20000000000005</c:v>
                </c:pt>
                <c:pt idx="1">
                  <c:v>179.1</c:v>
                </c:pt>
                <c:pt idx="2">
                  <c:v>177.1</c:v>
                </c:pt>
                <c:pt idx="3">
                  <c:v>2507.9</c:v>
                </c:pt>
                <c:pt idx="4">
                  <c:v>370.9</c:v>
                </c:pt>
                <c:pt idx="5">
                  <c:v>533.59999999999991</c:v>
                </c:pt>
                <c:pt idx="6">
                  <c:v>175.7</c:v>
                </c:pt>
                <c:pt idx="7">
                  <c:v>171.2</c:v>
                </c:pt>
                <c:pt idx="8">
                  <c:v>164.8</c:v>
                </c:pt>
              </c:numCache>
            </c:numRef>
          </c:val>
          <c:extLst>
            <c:ext xmlns:c16="http://schemas.microsoft.com/office/drawing/2014/chart" uri="{C3380CC4-5D6E-409C-BE32-E72D297353CC}">
              <c16:uniqueId val="{0000006D-D19B-4CFC-BC44-0A91EA1D17E9}"/>
            </c:ext>
          </c:extLst>
        </c:ser>
        <c:ser>
          <c:idx val="3"/>
          <c:order val="3"/>
          <c:tx>
            <c:strRef>
              <c:f>'Solution 1'!$E$6:$E$8</c:f>
              <c:strCache>
                <c:ptCount val="1"/>
                <c:pt idx="0">
                  <c:v>Rural+Urban - Contribution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7-FD69-4D97-9983-FD87F4FC777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9-FD69-4D97-9983-FD87F4FC777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B-FD69-4D97-9983-FD87F4FC777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D-FD69-4D97-9983-FD87F4FC777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F-FD69-4D97-9983-FD87F4FC777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41-FD69-4D97-9983-FD87F4FC777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FD69-4D97-9983-FD87F4FC777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FD69-4D97-9983-FD87F4FC777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FD69-4D97-9983-FD87F4FC7772}"/>
              </c:ext>
            </c:extLst>
          </c:dPt>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1'!$E$9:$E$18</c:f>
              <c:numCache>
                <c:formatCode>0%</c:formatCode>
                <c:ptCount val="9"/>
                <c:pt idx="0">
                  <c:v>0.11445122581979933</c:v>
                </c:pt>
                <c:pt idx="1">
                  <c:v>3.7053894693286439E-2</c:v>
                </c:pt>
                <c:pt idx="2">
                  <c:v>3.6640115858073856E-2</c:v>
                </c:pt>
                <c:pt idx="3">
                  <c:v>0.5188579704148133</c:v>
                </c:pt>
                <c:pt idx="4">
                  <c:v>7.673528499017275E-2</c:v>
                </c:pt>
                <c:pt idx="5">
                  <c:v>0.11039619323471603</c:v>
                </c:pt>
                <c:pt idx="6">
                  <c:v>3.6350470673425055E-2</c:v>
                </c:pt>
                <c:pt idx="7">
                  <c:v>3.5419468294196753E-2</c:v>
                </c:pt>
                <c:pt idx="8">
                  <c:v>3.4095376021516501E-2</c:v>
                </c:pt>
              </c:numCache>
            </c:numRef>
          </c:val>
          <c:extLst>
            <c:ext xmlns:c16="http://schemas.microsoft.com/office/drawing/2014/chart" uri="{C3380CC4-5D6E-409C-BE32-E72D297353CC}">
              <c16:uniqueId val="{0000006E-D19B-4CFC-BC44-0A91EA1D17E9}"/>
            </c:ext>
          </c:extLst>
        </c:ser>
        <c:ser>
          <c:idx val="4"/>
          <c:order val="4"/>
          <c:tx>
            <c:strRef>
              <c:f>'Solution 1'!$F$6:$F$8</c:f>
              <c:strCache>
                <c:ptCount val="1"/>
                <c:pt idx="0">
                  <c:v>Urban - Sum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49-FD69-4D97-9983-FD87F4FC777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4B-FD69-4D97-9983-FD87F4FC777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4D-FD69-4D97-9983-FD87F4FC777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4F-FD69-4D97-9983-FD87F4FC777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1-FD69-4D97-9983-FD87F4FC777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3-FD69-4D97-9983-FD87F4FC777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FD69-4D97-9983-FD87F4FC777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FD69-4D97-9983-FD87F4FC777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FD69-4D97-9983-FD87F4FC7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1'!$F$9:$F$18</c:f>
              <c:numCache>
                <c:formatCode>0</c:formatCode>
                <c:ptCount val="9"/>
                <c:pt idx="0">
                  <c:v>528.70000000000005</c:v>
                </c:pt>
                <c:pt idx="1">
                  <c:v>178.2</c:v>
                </c:pt>
                <c:pt idx="2">
                  <c:v>174.8</c:v>
                </c:pt>
                <c:pt idx="3">
                  <c:v>2539.2999999999997</c:v>
                </c:pt>
                <c:pt idx="4">
                  <c:v>367.79999999999995</c:v>
                </c:pt>
                <c:pt idx="5">
                  <c:v>529.1</c:v>
                </c:pt>
                <c:pt idx="6">
                  <c:v>171.6</c:v>
                </c:pt>
                <c:pt idx="7">
                  <c:v>169.2</c:v>
                </c:pt>
                <c:pt idx="8">
                  <c:v>160.4</c:v>
                </c:pt>
              </c:numCache>
            </c:numRef>
          </c:val>
          <c:extLst>
            <c:ext xmlns:c16="http://schemas.microsoft.com/office/drawing/2014/chart" uri="{C3380CC4-5D6E-409C-BE32-E72D297353CC}">
              <c16:uniqueId val="{0000006F-D19B-4CFC-BC44-0A91EA1D17E9}"/>
            </c:ext>
          </c:extLst>
        </c:ser>
        <c:ser>
          <c:idx val="5"/>
          <c:order val="5"/>
          <c:tx>
            <c:strRef>
              <c:f>'Solution 1'!$G$6:$G$8</c:f>
              <c:strCache>
                <c:ptCount val="1"/>
                <c:pt idx="0">
                  <c:v>Urban - Contribution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B-FD69-4D97-9983-FD87F4FC777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D-FD69-4D97-9983-FD87F4FC777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F-FD69-4D97-9983-FD87F4FC777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61-FD69-4D97-9983-FD87F4FC777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63-FD69-4D97-9983-FD87F4FC777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65-FD69-4D97-9983-FD87F4FC777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FD69-4D97-9983-FD87F4FC777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FD69-4D97-9983-FD87F4FC777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FD69-4D97-9983-FD87F4FC7772}"/>
              </c:ext>
            </c:extLst>
          </c:dPt>
          <c:cat>
            <c:strRef>
              <c:f>'Solution 1'!$A$9:$A$18</c:f>
              <c:strCache>
                <c:ptCount val="9"/>
                <c:pt idx="0">
                  <c:v>Apparels</c:v>
                </c:pt>
                <c:pt idx="1">
                  <c:v>Does not come under any category</c:v>
                </c:pt>
                <c:pt idx="2">
                  <c:v>Education</c:v>
                </c:pt>
                <c:pt idx="3">
                  <c:v>Food</c:v>
                </c:pt>
                <c:pt idx="4">
                  <c:v>Health</c:v>
                </c:pt>
                <c:pt idx="5">
                  <c:v>Home</c:v>
                </c:pt>
                <c:pt idx="6">
                  <c:v>Misc</c:v>
                </c:pt>
                <c:pt idx="7">
                  <c:v>Recreation</c:v>
                </c:pt>
                <c:pt idx="8">
                  <c:v>Transport</c:v>
                </c:pt>
              </c:strCache>
            </c:strRef>
          </c:cat>
          <c:val>
            <c:numRef>
              <c:f>'Solution 1'!$G$9:$G$18</c:f>
              <c:numCache>
                <c:formatCode>0%</c:formatCode>
                <c:ptCount val="9"/>
                <c:pt idx="0">
                  <c:v>0.10970928181610674</c:v>
                </c:pt>
                <c:pt idx="1">
                  <c:v>3.6977858936315902E-2</c:v>
                </c:pt>
                <c:pt idx="2">
                  <c:v>3.6272333008238053E-2</c:v>
                </c:pt>
                <c:pt idx="3">
                  <c:v>0.52692411446120635</c:v>
                </c:pt>
                <c:pt idx="4">
                  <c:v>7.632130480795167E-2</c:v>
                </c:pt>
                <c:pt idx="5">
                  <c:v>0.10979228486646884</c:v>
                </c:pt>
                <c:pt idx="6">
                  <c:v>3.5608308605341241E-2</c:v>
                </c:pt>
                <c:pt idx="7">
                  <c:v>3.5110290303168638E-2</c:v>
                </c:pt>
                <c:pt idx="8">
                  <c:v>3.3284223195202425E-2</c:v>
                </c:pt>
              </c:numCache>
            </c:numRef>
          </c:val>
          <c:extLst>
            <c:ext xmlns:c16="http://schemas.microsoft.com/office/drawing/2014/chart" uri="{C3380CC4-5D6E-409C-BE32-E72D297353CC}">
              <c16:uniqueId val="{00000070-D19B-4CFC-BC44-0A91EA1D17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a:solidFill>
                  <a:srgbClr val="0000FF"/>
                </a:solidFill>
                <a:latin typeface="Algerian" panose="04020705040A02060702" pitchFamily="82" charset="0"/>
              </a:rPr>
              <a:t>CPI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lotArea>
      <c:layout/>
      <c:lineChart>
        <c:grouping val="standard"/>
        <c:varyColors val="0"/>
        <c:ser>
          <c:idx val="3"/>
          <c:order val="3"/>
          <c:tx>
            <c:strRef>
              <c:f>'Solution 2'!$E$5</c:f>
              <c:strCache>
                <c:ptCount val="1"/>
                <c:pt idx="0">
                  <c:v>Inflation</c:v>
                </c:pt>
              </c:strCache>
              <c:extLst xmlns:c15="http://schemas.microsoft.com/office/drawing/2012/chart"/>
            </c:strRef>
          </c:tx>
          <c:spPr>
            <a:ln w="28575" cap="rnd">
              <a:solidFill>
                <a:schemeClr val="accent2">
                  <a:lumMod val="75000"/>
                </a:schemeClr>
              </a:solidFill>
              <a:round/>
            </a:ln>
            <a:effectLst/>
          </c:spPr>
          <c:marker>
            <c:symbol val="none"/>
          </c:marker>
          <c:dPt>
            <c:idx val="0"/>
            <c:marker>
              <c:symbol val="none"/>
            </c:marker>
            <c:bubble3D val="0"/>
            <c:extLst>
              <c:ext xmlns:c16="http://schemas.microsoft.com/office/drawing/2014/chart" uri="{C3380CC4-5D6E-409C-BE32-E72D297353CC}">
                <c16:uniqueId val="{00000005-B8AE-48AB-8633-2A7F1D835DE9}"/>
              </c:ext>
            </c:extLst>
          </c:dPt>
          <c:dPt>
            <c:idx val="1"/>
            <c:marker>
              <c:symbol val="none"/>
            </c:marker>
            <c:bubble3D val="0"/>
            <c:extLst>
              <c:ext xmlns:c16="http://schemas.microsoft.com/office/drawing/2014/chart" uri="{C3380CC4-5D6E-409C-BE32-E72D297353CC}">
                <c16:uniqueId val="{00000001-B8AE-48AB-8633-2A7F1D835DE9}"/>
              </c:ext>
            </c:extLst>
          </c:dPt>
          <c:dPt>
            <c:idx val="2"/>
            <c:marker>
              <c:symbol val="none"/>
            </c:marker>
            <c:bubble3D val="0"/>
            <c:extLst>
              <c:ext xmlns:c16="http://schemas.microsoft.com/office/drawing/2014/chart" uri="{C3380CC4-5D6E-409C-BE32-E72D297353CC}">
                <c16:uniqueId val="{00000000-B8AE-48AB-8633-2A7F1D835DE9}"/>
              </c:ext>
            </c:extLst>
          </c:dPt>
          <c:dPt>
            <c:idx val="3"/>
            <c:marker>
              <c:symbol val="none"/>
            </c:marker>
            <c:bubble3D val="0"/>
            <c:extLst>
              <c:ext xmlns:c16="http://schemas.microsoft.com/office/drawing/2014/chart" uri="{C3380CC4-5D6E-409C-BE32-E72D297353CC}">
                <c16:uniqueId val="{00000002-B8AE-48AB-8633-2A7F1D835DE9}"/>
              </c:ext>
            </c:extLst>
          </c:dPt>
          <c:dPt>
            <c:idx val="4"/>
            <c:marker>
              <c:symbol val="none"/>
            </c:marker>
            <c:bubble3D val="0"/>
            <c:extLst>
              <c:ext xmlns:c16="http://schemas.microsoft.com/office/drawing/2014/chart" uri="{C3380CC4-5D6E-409C-BE32-E72D297353CC}">
                <c16:uniqueId val="{00000003-B8AE-48AB-8633-2A7F1D835DE9}"/>
              </c:ext>
            </c:extLst>
          </c:dPt>
          <c:dPt>
            <c:idx val="5"/>
            <c:marker>
              <c:symbol val="none"/>
            </c:marker>
            <c:bubble3D val="0"/>
            <c:extLst>
              <c:ext xmlns:c16="http://schemas.microsoft.com/office/drawing/2014/chart" uri="{C3380CC4-5D6E-409C-BE32-E72D297353CC}">
                <c16:uniqueId val="{00000004-B8AE-48AB-8633-2A7F1D835DE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'Solution 2'!$B$6:$B$11</c:f>
              <c:numCache>
                <c:formatCode>General</c:formatCode>
                <c:ptCount val="6"/>
                <c:pt idx="0">
                  <c:v>2017</c:v>
                </c:pt>
                <c:pt idx="1">
                  <c:v>2018</c:v>
                </c:pt>
                <c:pt idx="2">
                  <c:v>2019</c:v>
                </c:pt>
                <c:pt idx="3">
                  <c:v>2020</c:v>
                </c:pt>
                <c:pt idx="4">
                  <c:v>2021</c:v>
                </c:pt>
                <c:pt idx="5">
                  <c:v>2022</c:v>
                </c:pt>
              </c:numCache>
            </c:numRef>
          </c:cat>
          <c:val>
            <c:numRef>
              <c:f>'Solution 2'!$E$6:$E$11</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F795-4403-B6C6-881527A5DFBF}"/>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870564512"/>
        <c:axId val="870558752"/>
        <c:extLst>
          <c:ext xmlns:c15="http://schemas.microsoft.com/office/drawing/2012/chart" uri="{02D57815-91ED-43cb-92C2-25804820EDAC}">
            <c15:filteredLineSeries>
              <c15:ser>
                <c:idx val="0"/>
                <c:order val="0"/>
                <c:tx>
                  <c:strRef>
                    <c:extLst>
                      <c:ext uri="{02D57815-91ED-43cb-92C2-25804820EDAC}">
                        <c15:formulaRef>
                          <c15:sqref>'Solution 2'!$B$5</c15:sqref>
                        </c15:formulaRef>
                      </c:ext>
                    </c:extLst>
                    <c:strCache>
                      <c:ptCount val="1"/>
                      <c:pt idx="0">
                        <c:v>Year</c:v>
                      </c:pt>
                    </c:strCache>
                  </c:strRef>
                </c:tx>
                <c:spPr>
                  <a:ln w="28575" cap="rnd">
                    <a:solidFill>
                      <a:schemeClr val="accent1"/>
                    </a:solidFill>
                    <a:round/>
                  </a:ln>
                  <a:effectLst/>
                </c:spPr>
                <c:marker>
                  <c:symbol val="none"/>
                </c:marker>
                <c:cat>
                  <c:numRef>
                    <c:extLst>
                      <c:ext uri="{02D57815-91ED-43cb-92C2-25804820EDAC}">
                        <c15:formulaRef>
                          <c15:sqref>'Solution 2'!$B$6:$B$11</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'Solution 2'!$B$6:$B$11</c15:sqref>
                        </c15:formulaRef>
                      </c:ext>
                    </c:extLst>
                    <c:numCache>
                      <c:formatCode>General</c:formatCode>
                      <c:ptCount val="6"/>
                      <c:pt idx="0">
                        <c:v>2017</c:v>
                      </c:pt>
                      <c:pt idx="1">
                        <c:v>2018</c:v>
                      </c:pt>
                      <c:pt idx="2">
                        <c:v>2019</c:v>
                      </c:pt>
                      <c:pt idx="3">
                        <c:v>2020</c:v>
                      </c:pt>
                      <c:pt idx="4">
                        <c:v>2021</c:v>
                      </c:pt>
                      <c:pt idx="5">
                        <c:v>2022</c:v>
                      </c:pt>
                    </c:numCache>
                  </c:numRef>
                </c:val>
                <c:smooth val="0"/>
                <c:extLst>
                  <c:ext xmlns:c16="http://schemas.microsoft.com/office/drawing/2014/chart" uri="{C3380CC4-5D6E-409C-BE32-E72D297353CC}">
                    <c16:uniqueId val="{00000000-F795-4403-B6C6-881527A5DFBF}"/>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'Solution 2'!$C$5</c15:sqref>
                        </c15:formulaRef>
                      </c:ext>
                    </c:extLst>
                    <c:strCache>
                      <c:ptCount val="1"/>
                      <c:pt idx="0">
                        <c:v>January</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'Solution 2'!$B$6:$B$11</c15:sqref>
                        </c15:formulaRef>
                      </c:ext>
                    </c:extLst>
                    <c:numCache>
                      <c:formatCode>General</c:formatCode>
                      <c:ptCount val="6"/>
                      <c:pt idx="0">
                        <c:v>2017</c:v>
                      </c:pt>
                      <c:pt idx="1">
                        <c:v>2018</c:v>
                      </c:pt>
                      <c:pt idx="2">
                        <c:v>2019</c:v>
                      </c:pt>
                      <c:pt idx="3">
                        <c:v>2020</c:v>
                      </c:pt>
                      <c:pt idx="4">
                        <c:v>2021</c:v>
                      </c:pt>
                      <c:pt idx="5">
                        <c:v>2022</c:v>
                      </c:pt>
                    </c:numCache>
                  </c:numRef>
                </c:cat>
                <c:val>
                  <c:numRef>
                    <c:extLst xmlns:c15="http://schemas.microsoft.com/office/drawing/2012/chart">
                      <c:ext xmlns:c15="http://schemas.microsoft.com/office/drawing/2012/chart" uri="{02D57815-91ED-43cb-92C2-25804820EDAC}">
                        <c15:formulaRef>
                          <c15:sqref>'Solution 2'!$C$6:$C$11</c15:sqref>
                        </c15:formulaRef>
                      </c:ext>
                    </c:extLst>
                    <c:numCache>
                      <c:formatCode>General</c:formatCode>
                      <c:ptCount val="6"/>
                      <c:pt idx="0">
                        <c:v>130.30000000000001</c:v>
                      </c:pt>
                      <c:pt idx="1">
                        <c:v>136.9</c:v>
                      </c:pt>
                      <c:pt idx="2">
                        <c:v>139.6</c:v>
                      </c:pt>
                      <c:pt idx="3">
                        <c:v>150.19999999999999</c:v>
                      </c:pt>
                      <c:pt idx="4">
                        <c:v>157.30000000000001</c:v>
                      </c:pt>
                      <c:pt idx="5">
                        <c:v>165.7</c:v>
                      </c:pt>
                    </c:numCache>
                  </c:numRef>
                </c:val>
                <c:smooth val="0"/>
                <c:extLst xmlns:c15="http://schemas.microsoft.com/office/drawing/2012/chart">
                  <c:ext xmlns:c16="http://schemas.microsoft.com/office/drawing/2014/chart" uri="{C3380CC4-5D6E-409C-BE32-E72D297353CC}">
                    <c16:uniqueId val="{00000001-F795-4403-B6C6-881527A5DFBF}"/>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'Solution 2'!$D$5</c15:sqref>
                        </c15:formulaRef>
                      </c:ext>
                    </c:extLst>
                    <c:strCache>
                      <c:ptCount val="1"/>
                      <c:pt idx="0">
                        <c:v>December</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'Solution 2'!$B$6:$B$11</c15:sqref>
                        </c15:formulaRef>
                      </c:ext>
                    </c:extLst>
                    <c:numCache>
                      <c:formatCode>General</c:formatCode>
                      <c:ptCount val="6"/>
                      <c:pt idx="0">
                        <c:v>2017</c:v>
                      </c:pt>
                      <c:pt idx="1">
                        <c:v>2018</c:v>
                      </c:pt>
                      <c:pt idx="2">
                        <c:v>2019</c:v>
                      </c:pt>
                      <c:pt idx="3">
                        <c:v>2020</c:v>
                      </c:pt>
                      <c:pt idx="4">
                        <c:v>2021</c:v>
                      </c:pt>
                      <c:pt idx="5">
                        <c:v>2022</c:v>
                      </c:pt>
                    </c:numCache>
                  </c:numRef>
                </c:cat>
                <c:val>
                  <c:numRef>
                    <c:extLst xmlns:c15="http://schemas.microsoft.com/office/drawing/2012/chart">
                      <c:ext xmlns:c15="http://schemas.microsoft.com/office/drawing/2012/chart" uri="{02D57815-91ED-43cb-92C2-25804820EDAC}">
                        <c15:formulaRef>
                          <c15:sqref>'Solution 2'!$D$6:$D$11</c15:sqref>
                        </c15:formulaRef>
                      </c:ext>
                    </c:extLst>
                    <c:numCache>
                      <c:formatCode>General</c:formatCode>
                      <c:ptCount val="6"/>
                      <c:pt idx="0">
                        <c:v>137.19999999999999</c:v>
                      </c:pt>
                      <c:pt idx="1">
                        <c:v>140.1</c:v>
                      </c:pt>
                      <c:pt idx="2">
                        <c:v>150.4</c:v>
                      </c:pt>
                      <c:pt idx="3">
                        <c:v>158.9</c:v>
                      </c:pt>
                      <c:pt idx="4">
                        <c:v>166.2</c:v>
                      </c:pt>
                      <c:pt idx="5">
                        <c:v>175.7</c:v>
                      </c:pt>
                    </c:numCache>
                  </c:numRef>
                </c:val>
                <c:smooth val="0"/>
                <c:extLst xmlns:c15="http://schemas.microsoft.com/office/drawing/2012/chart">
                  <c:ext xmlns:c16="http://schemas.microsoft.com/office/drawing/2014/chart" uri="{C3380CC4-5D6E-409C-BE32-E72D297353CC}">
                    <c16:uniqueId val="{00000002-F795-4403-B6C6-881527A5DFBF}"/>
                  </c:ext>
                </c:extLst>
              </c15:ser>
            </c15:filteredLineSeries>
          </c:ext>
        </c:extLst>
      </c:lineChart>
      <c:catAx>
        <c:axId val="870564512"/>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870558752"/>
        <c:crosses val="autoZero"/>
        <c:auto val="1"/>
        <c:lblAlgn val="ctr"/>
        <c:lblOffset val="100"/>
        <c:noMultiLvlLbl val="0"/>
      </c:catAx>
      <c:valAx>
        <c:axId val="870558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02060"/>
                </a:solidFill>
                <a:latin typeface="+mn-lt"/>
                <a:ea typeface="+mn-ea"/>
                <a:cs typeface="+mn-cs"/>
              </a:defRPr>
            </a:pPr>
            <a:endParaRPr lang="en-US"/>
          </a:p>
        </c:txPr>
        <c:crossAx val="870564512"/>
        <c:crosses val="autoZero"/>
        <c:crossBetween val="between"/>
      </c:valAx>
      <c:spPr>
        <a:noFill/>
        <a:ln>
          <a:solidFill>
            <a:schemeClr val="tx1">
              <a:lumMod val="95000"/>
              <a:lumOff val="5000"/>
            </a:schemeClr>
          </a:solidFill>
        </a:ln>
        <a:effectLst>
          <a:glow rad="127000">
            <a:schemeClr val="accent1"/>
          </a:glow>
          <a:softEdge rad="279400"/>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Algerian" panose="04020705040A02060702" pitchFamily="82" charset="0"/>
              </a:rPr>
              <a:t>M-O-M CPI InflATION</a:t>
            </a:r>
            <a:r>
              <a:rPr lang="en-US" sz="1800" b="1" baseline="0">
                <a:latin typeface="Algerian" panose="04020705040A02060702" pitchFamily="82" charset="0"/>
              </a:rPr>
              <a:t> FOR FOOD CATEGORY</a:t>
            </a:r>
            <a:endParaRPr lang="en-US" sz="1800"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1"/>
          <c:tx>
            <c:strRef>
              <c:f>'Solution 3'!$L$4</c:f>
              <c:strCache>
                <c:ptCount val="1"/>
                <c:pt idx="0">
                  <c:v>Inflation</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3'!$J$5:$J$17</c:f>
              <c:strCache>
                <c:ptCount val="13"/>
                <c:pt idx="0">
                  <c:v>2022 - May</c:v>
                </c:pt>
                <c:pt idx="1">
                  <c:v>2022 - June</c:v>
                </c:pt>
                <c:pt idx="2">
                  <c:v>2022 - July</c:v>
                </c:pt>
                <c:pt idx="3">
                  <c:v>2022 - August</c:v>
                </c:pt>
                <c:pt idx="4">
                  <c:v>2022 - September</c:v>
                </c:pt>
                <c:pt idx="5">
                  <c:v>2022 - October</c:v>
                </c:pt>
                <c:pt idx="6">
                  <c:v>2022 - November</c:v>
                </c:pt>
                <c:pt idx="7">
                  <c:v>2022 - December</c:v>
                </c:pt>
                <c:pt idx="8">
                  <c:v>2023 - January</c:v>
                </c:pt>
                <c:pt idx="9">
                  <c:v>2023 - February</c:v>
                </c:pt>
                <c:pt idx="10">
                  <c:v>2023 - March</c:v>
                </c:pt>
                <c:pt idx="11">
                  <c:v>2023 - April</c:v>
                </c:pt>
                <c:pt idx="12">
                  <c:v>2023 - May</c:v>
                </c:pt>
              </c:strCache>
            </c:strRef>
          </c:cat>
          <c:val>
            <c:numRef>
              <c:f>'Solution 3'!$L$5:$L$17</c:f>
              <c:numCache>
                <c:formatCode>0.00%</c:formatCode>
                <c:ptCount val="13"/>
                <c:pt idx="1">
                  <c:v>9.6821836879819566E-3</c:v>
                </c:pt>
                <c:pt idx="2">
                  <c:v>1.8420197204463448E-3</c:v>
                </c:pt>
                <c:pt idx="3">
                  <c:v>1.2573004542505112E-3</c:v>
                </c:pt>
                <c:pt idx="4">
                  <c:v>5.279431819716106E-3</c:v>
                </c:pt>
                <c:pt idx="5">
                  <c:v>6.7425992585826867E-3</c:v>
                </c:pt>
                <c:pt idx="6">
                  <c:v>-4.6695306454613372E-4</c:v>
                </c:pt>
                <c:pt idx="7">
                  <c:v>-5.5126202965870043E-3</c:v>
                </c:pt>
                <c:pt idx="8">
                  <c:v>4.3217995866104498E-3</c:v>
                </c:pt>
                <c:pt idx="9">
                  <c:v>-4.5838456192869225E-3</c:v>
                </c:pt>
                <c:pt idx="10">
                  <c:v>6.7127609585822652E-5</c:v>
                </c:pt>
                <c:pt idx="11">
                  <c:v>4.8462880923614395E-3</c:v>
                </c:pt>
                <c:pt idx="12">
                  <c:v>7.0406540994777259E-3</c:v>
                </c:pt>
              </c:numCache>
            </c:numRef>
          </c:val>
          <c:smooth val="0"/>
          <c:extLst>
            <c:ext xmlns:c16="http://schemas.microsoft.com/office/drawing/2014/chart" uri="{C3380CC4-5D6E-409C-BE32-E72D297353CC}">
              <c16:uniqueId val="{00000001-7A5D-4F67-9C1C-9CAB15E6CB17}"/>
            </c:ext>
          </c:extLst>
        </c:ser>
        <c:dLbls>
          <c:showLegendKey val="0"/>
          <c:showVal val="0"/>
          <c:showCatName val="0"/>
          <c:showSerName val="0"/>
          <c:showPercent val="0"/>
          <c:showBubbleSize val="0"/>
        </c:dLbls>
        <c:smooth val="0"/>
        <c:axId val="41101263"/>
        <c:axId val="41090223"/>
        <c:extLst>
          <c:ext xmlns:c15="http://schemas.microsoft.com/office/drawing/2012/chart" uri="{02D57815-91ED-43cb-92C2-25804820EDAC}">
            <c15:filteredLineSeries>
              <c15:ser>
                <c:idx val="0"/>
                <c:order val="0"/>
                <c:tx>
                  <c:strRef>
                    <c:extLst>
                      <c:ext uri="{02D57815-91ED-43cb-92C2-25804820EDAC}">
                        <c15:formulaRef>
                          <c15:sqref>'Solution 3'!$K$4</c15:sqref>
                        </c15:formulaRef>
                      </c:ext>
                    </c:extLst>
                    <c:strCache>
                      <c:ptCount val="1"/>
                      <c:pt idx="0">
                        <c:v>CPI</c:v>
                      </c:pt>
                    </c:strCache>
                  </c:strRef>
                </c:tx>
                <c:spPr>
                  <a:ln w="28575" cap="rnd">
                    <a:solidFill>
                      <a:schemeClr val="accent1"/>
                    </a:solidFill>
                    <a:round/>
                  </a:ln>
                  <a:effectLst/>
                </c:spPr>
                <c:marker>
                  <c:symbol val="none"/>
                </c:marker>
                <c:cat>
                  <c:strRef>
                    <c:extLst>
                      <c:ext uri="{02D57815-91ED-43cb-92C2-25804820EDAC}">
                        <c15:formulaRef>
                          <c15:sqref>'Solution 3'!$J$5:$J$17</c15:sqref>
                        </c15:formulaRef>
                      </c:ext>
                    </c:extLst>
                    <c:strCache>
                      <c:ptCount val="13"/>
                      <c:pt idx="0">
                        <c:v>2022 - May</c:v>
                      </c:pt>
                      <c:pt idx="1">
                        <c:v>2022 - June</c:v>
                      </c:pt>
                      <c:pt idx="2">
                        <c:v>2022 - July</c:v>
                      </c:pt>
                      <c:pt idx="3">
                        <c:v>2022 - August</c:v>
                      </c:pt>
                      <c:pt idx="4">
                        <c:v>2022 - September</c:v>
                      </c:pt>
                      <c:pt idx="5">
                        <c:v>2022 - October</c:v>
                      </c:pt>
                      <c:pt idx="6">
                        <c:v>2022 - November</c:v>
                      </c:pt>
                      <c:pt idx="7">
                        <c:v>2022 - December</c:v>
                      </c:pt>
                      <c:pt idx="8">
                        <c:v>2023 - January</c:v>
                      </c:pt>
                      <c:pt idx="9">
                        <c:v>2023 - February</c:v>
                      </c:pt>
                      <c:pt idx="10">
                        <c:v>2023 - March</c:v>
                      </c:pt>
                      <c:pt idx="11">
                        <c:v>2023 - April</c:v>
                      </c:pt>
                      <c:pt idx="12">
                        <c:v>2023 - May</c:v>
                      </c:pt>
                    </c:strCache>
                  </c:strRef>
                </c:cat>
                <c:val>
                  <c:numRef>
                    <c:extLst>
                      <c:ext uri="{02D57815-91ED-43cb-92C2-25804820EDAC}">
                        <c15:formulaRef>
                          <c15:sqref>'Solution 3'!$K$5:$K$17</c15:sqref>
                        </c15:formulaRef>
                      </c:ext>
                    </c:extLst>
                    <c:numCache>
                      <c:formatCode>General</c:formatCode>
                      <c:ptCount val="13"/>
                      <c:pt idx="0">
                        <c:v>7312.4000000000015</c:v>
                      </c:pt>
                      <c:pt idx="1">
                        <c:v>7383.2000000000007</c:v>
                      </c:pt>
                      <c:pt idx="2">
                        <c:v>7396.8</c:v>
                      </c:pt>
                      <c:pt idx="3">
                        <c:v>7406.1</c:v>
                      </c:pt>
                      <c:pt idx="4">
                        <c:v>7445.2</c:v>
                      </c:pt>
                      <c:pt idx="5">
                        <c:v>7495.4</c:v>
                      </c:pt>
                      <c:pt idx="6">
                        <c:v>7491.9000000000005</c:v>
                      </c:pt>
                      <c:pt idx="7">
                        <c:v>7450.6</c:v>
                      </c:pt>
                      <c:pt idx="8">
                        <c:v>7482.8</c:v>
                      </c:pt>
                      <c:pt idx="9">
                        <c:v>7448.5</c:v>
                      </c:pt>
                      <c:pt idx="10">
                        <c:v>7449</c:v>
                      </c:pt>
                      <c:pt idx="11">
                        <c:v>7485.1</c:v>
                      </c:pt>
                      <c:pt idx="12">
                        <c:v>7537.8000000000011</c:v>
                      </c:pt>
                    </c:numCache>
                  </c:numRef>
                </c:val>
                <c:smooth val="0"/>
                <c:extLst>
                  <c:ext xmlns:c16="http://schemas.microsoft.com/office/drawing/2014/chart" uri="{C3380CC4-5D6E-409C-BE32-E72D297353CC}">
                    <c16:uniqueId val="{00000000-7A5D-4F67-9C1C-9CAB15E6CB17}"/>
                  </c:ext>
                </c:extLst>
              </c15:ser>
            </c15:filteredLineSeries>
          </c:ext>
        </c:extLst>
      </c:lineChart>
      <c:catAx>
        <c:axId val="41101263"/>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090223"/>
        <c:crosses val="autoZero"/>
        <c:auto val="1"/>
        <c:lblAlgn val="ctr"/>
        <c:lblOffset val="100"/>
        <c:noMultiLvlLbl val="0"/>
      </c:catAx>
      <c:valAx>
        <c:axId val="4109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101263"/>
        <c:crosses val="autoZero"/>
        <c:crossBetween val="between"/>
      </c:valAx>
      <c:spPr>
        <a:noFill/>
        <a:ln>
          <a:noFill/>
        </a:ln>
        <a:effectLst/>
      </c:spPr>
    </c:plotArea>
    <c:legend>
      <c:legendPos val="b"/>
      <c:layout>
        <c:manualLayout>
          <c:xMode val="edge"/>
          <c:yMode val="edge"/>
          <c:x val="0.44289797856759616"/>
          <c:y val="0.92187445319335082"/>
          <c:w val="0.11885912358781241"/>
          <c:h val="4.95598182385792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2"/>
          <c:order val="2"/>
          <c:tx>
            <c:strRef>
              <c:f>'Solution 3'!$L$47</c:f>
              <c:strCache>
                <c:ptCount val="1"/>
                <c:pt idx="0">
                  <c:v>Inflation</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3'!$I$48:$I$61</c:f>
              <c:strCache>
                <c:ptCount val="14"/>
                <c:pt idx="0">
                  <c:v>Sum of Cereals and products</c:v>
                </c:pt>
                <c:pt idx="1">
                  <c:v>Sum of Meat and fish</c:v>
                </c:pt>
                <c:pt idx="2">
                  <c:v>Sum of Egg</c:v>
                </c:pt>
                <c:pt idx="3">
                  <c:v>Sum of Milk and products</c:v>
                </c:pt>
                <c:pt idx="4">
                  <c:v>Sum of Oils and fats</c:v>
                </c:pt>
                <c:pt idx="5">
                  <c:v>Sum of Fruits</c:v>
                </c:pt>
                <c:pt idx="6">
                  <c:v>Sum of Vegetables</c:v>
                </c:pt>
                <c:pt idx="7">
                  <c:v>Sum of Pulses and products</c:v>
                </c:pt>
                <c:pt idx="8">
                  <c:v>Sum of Sugar and Confectionery</c:v>
                </c:pt>
                <c:pt idx="9">
                  <c:v>Sum of Spices</c:v>
                </c:pt>
                <c:pt idx="10">
                  <c:v>Sum of Non-alcoholic beverages</c:v>
                </c:pt>
                <c:pt idx="11">
                  <c:v>Sum of Prepared meals, snacks, sweets etc.</c:v>
                </c:pt>
                <c:pt idx="12">
                  <c:v>Sum of Food and beverages</c:v>
                </c:pt>
                <c:pt idx="13">
                  <c:v>Sum of Pan, tobacco and intoxicants</c:v>
                </c:pt>
              </c:strCache>
            </c:strRef>
          </c:cat>
          <c:val>
            <c:numRef>
              <c:f>'Solution 3'!$L$48:$L$61</c:f>
              <c:numCache>
                <c:formatCode>0%</c:formatCode>
                <c:ptCount val="14"/>
                <c:pt idx="0">
                  <c:v>0.11859318035599377</c:v>
                </c:pt>
                <c:pt idx="1">
                  <c:v>-2.2424242424242357E-2</c:v>
                </c:pt>
                <c:pt idx="2">
                  <c:v>1.5003897116133926E-2</c:v>
                </c:pt>
                <c:pt idx="3">
                  <c:v>8.2194533762057834E-2</c:v>
                </c:pt>
                <c:pt idx="4">
                  <c:v>-0.15043507362784475</c:v>
                </c:pt>
                <c:pt idx="5">
                  <c:v>1.4521193092621731E-2</c:v>
                </c:pt>
                <c:pt idx="6">
                  <c:v>-0.11833897700944579</c:v>
                </c:pt>
                <c:pt idx="7">
                  <c:v>7.0862944162436506E-2</c:v>
                </c:pt>
                <c:pt idx="8">
                  <c:v>2.3307436182020073E-2</c:v>
                </c:pt>
                <c:pt idx="9">
                  <c:v>0.16336014298480783</c:v>
                </c:pt>
                <c:pt idx="10">
                  <c:v>3.3519553072625718E-2</c:v>
                </c:pt>
                <c:pt idx="11">
                  <c:v>5.5968121717080196E-2</c:v>
                </c:pt>
                <c:pt idx="12">
                  <c:v>2.3547284466388107E-2</c:v>
                </c:pt>
                <c:pt idx="13">
                  <c:v>3.3475661827497907E-2</c:v>
                </c:pt>
              </c:numCache>
            </c:numRef>
          </c:val>
          <c:smooth val="0"/>
          <c:extLst>
            <c:ext xmlns:c16="http://schemas.microsoft.com/office/drawing/2014/chart" uri="{C3380CC4-5D6E-409C-BE32-E72D297353CC}">
              <c16:uniqueId val="{00000002-270E-4354-A6AC-A701183AC251}"/>
            </c:ext>
          </c:extLst>
        </c:ser>
        <c:dLbls>
          <c:showLegendKey val="0"/>
          <c:showVal val="0"/>
          <c:showCatName val="0"/>
          <c:showSerName val="0"/>
          <c:showPercent val="0"/>
          <c:showBubbleSize val="0"/>
        </c:dLbls>
        <c:smooth val="0"/>
        <c:axId val="207748495"/>
        <c:axId val="207751855"/>
        <c:extLst>
          <c:ext xmlns:c15="http://schemas.microsoft.com/office/drawing/2012/chart" uri="{02D57815-91ED-43cb-92C2-25804820EDAC}">
            <c15:filteredLineSeries>
              <c15:ser>
                <c:idx val="0"/>
                <c:order val="0"/>
                <c:tx>
                  <c:strRef>
                    <c:extLst>
                      <c:ext uri="{02D57815-91ED-43cb-92C2-25804820EDAC}">
                        <c15:formulaRef>
                          <c15:sqref>'Solution 3'!$J$47</c15:sqref>
                        </c15:formulaRef>
                      </c:ext>
                    </c:extLst>
                    <c:strCache>
                      <c:ptCount val="1"/>
                      <c:pt idx="0">
                        <c:v>2022 - June</c:v>
                      </c:pt>
                    </c:strCache>
                  </c:strRef>
                </c:tx>
                <c:spPr>
                  <a:ln w="28575" cap="rnd">
                    <a:solidFill>
                      <a:schemeClr val="accent1"/>
                    </a:solidFill>
                    <a:round/>
                  </a:ln>
                  <a:effectLst/>
                </c:spPr>
                <c:marker>
                  <c:symbol val="none"/>
                </c:marker>
                <c:cat>
                  <c:strRef>
                    <c:extLst>
                      <c:ext uri="{02D57815-91ED-43cb-92C2-25804820EDAC}">
                        <c15:formulaRef>
                          <c15:sqref>'Solution 3'!$I$48:$I$61</c15:sqref>
                        </c15:formulaRef>
                      </c:ext>
                    </c:extLst>
                    <c:strCache>
                      <c:ptCount val="14"/>
                      <c:pt idx="0">
                        <c:v>Sum of Cereals and products</c:v>
                      </c:pt>
                      <c:pt idx="1">
                        <c:v>Sum of Meat and fish</c:v>
                      </c:pt>
                      <c:pt idx="2">
                        <c:v>Sum of Egg</c:v>
                      </c:pt>
                      <c:pt idx="3">
                        <c:v>Sum of Milk and products</c:v>
                      </c:pt>
                      <c:pt idx="4">
                        <c:v>Sum of Oils and fats</c:v>
                      </c:pt>
                      <c:pt idx="5">
                        <c:v>Sum of Fruits</c:v>
                      </c:pt>
                      <c:pt idx="6">
                        <c:v>Sum of Vegetables</c:v>
                      </c:pt>
                      <c:pt idx="7">
                        <c:v>Sum of Pulses and products</c:v>
                      </c:pt>
                      <c:pt idx="8">
                        <c:v>Sum of Sugar and Confectionery</c:v>
                      </c:pt>
                      <c:pt idx="9">
                        <c:v>Sum of Spices</c:v>
                      </c:pt>
                      <c:pt idx="10">
                        <c:v>Sum of Non-alcoholic beverages</c:v>
                      </c:pt>
                      <c:pt idx="11">
                        <c:v>Sum of Prepared meals, snacks, sweets etc.</c:v>
                      </c:pt>
                      <c:pt idx="12">
                        <c:v>Sum of Food and beverages</c:v>
                      </c:pt>
                      <c:pt idx="13">
                        <c:v>Sum of Pan, tobacco and intoxicants</c:v>
                      </c:pt>
                    </c:strCache>
                  </c:strRef>
                </c:cat>
                <c:val>
                  <c:numRef>
                    <c:extLst>
                      <c:ext uri="{02D57815-91ED-43cb-92C2-25804820EDAC}">
                        <c15:formulaRef>
                          <c15:sqref>'Solution 3'!$J$48:$J$61</c15:sqref>
                        </c15:formulaRef>
                      </c:ext>
                    </c:extLst>
                    <c:numCache>
                      <c:formatCode>General</c:formatCode>
                      <c:ptCount val="14"/>
                      <c:pt idx="0">
                        <c:v>466.3</c:v>
                      </c:pt>
                      <c:pt idx="1">
                        <c:v>660</c:v>
                      </c:pt>
                      <c:pt idx="2">
                        <c:v>513.20000000000005</c:v>
                      </c:pt>
                      <c:pt idx="3">
                        <c:v>497.6</c:v>
                      </c:pt>
                      <c:pt idx="4">
                        <c:v>597.6</c:v>
                      </c:pt>
                      <c:pt idx="5">
                        <c:v>509.59999999999997</c:v>
                      </c:pt>
                      <c:pt idx="6">
                        <c:v>561.1</c:v>
                      </c:pt>
                      <c:pt idx="7">
                        <c:v>492.5</c:v>
                      </c:pt>
                      <c:pt idx="8">
                        <c:v>360.4</c:v>
                      </c:pt>
                      <c:pt idx="9">
                        <c:v>559.5</c:v>
                      </c:pt>
                      <c:pt idx="10">
                        <c:v>501.2</c:v>
                      </c:pt>
                      <c:pt idx="11">
                        <c:v>552.1</c:v>
                      </c:pt>
                      <c:pt idx="12">
                        <c:v>526.6</c:v>
                      </c:pt>
                      <c:pt idx="13">
                        <c:v>585.5</c:v>
                      </c:pt>
                    </c:numCache>
                  </c:numRef>
                </c:val>
                <c:smooth val="0"/>
                <c:extLst>
                  <c:ext xmlns:c16="http://schemas.microsoft.com/office/drawing/2014/chart" uri="{C3380CC4-5D6E-409C-BE32-E72D297353CC}">
                    <c16:uniqueId val="{00000000-270E-4354-A6AC-A701183AC25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'Solution 3'!$K$47</c15:sqref>
                        </c15:formulaRef>
                      </c:ext>
                    </c:extLst>
                    <c:strCache>
                      <c:ptCount val="1"/>
                      <c:pt idx="0">
                        <c:v>2023 - May</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'Solution 3'!$I$48:$I$61</c15:sqref>
                        </c15:formulaRef>
                      </c:ext>
                    </c:extLst>
                    <c:strCache>
                      <c:ptCount val="14"/>
                      <c:pt idx="0">
                        <c:v>Sum of Cereals and products</c:v>
                      </c:pt>
                      <c:pt idx="1">
                        <c:v>Sum of Meat and fish</c:v>
                      </c:pt>
                      <c:pt idx="2">
                        <c:v>Sum of Egg</c:v>
                      </c:pt>
                      <c:pt idx="3">
                        <c:v>Sum of Milk and products</c:v>
                      </c:pt>
                      <c:pt idx="4">
                        <c:v>Sum of Oils and fats</c:v>
                      </c:pt>
                      <c:pt idx="5">
                        <c:v>Sum of Fruits</c:v>
                      </c:pt>
                      <c:pt idx="6">
                        <c:v>Sum of Vegetables</c:v>
                      </c:pt>
                      <c:pt idx="7">
                        <c:v>Sum of Pulses and products</c:v>
                      </c:pt>
                      <c:pt idx="8">
                        <c:v>Sum of Sugar and Confectionery</c:v>
                      </c:pt>
                      <c:pt idx="9">
                        <c:v>Sum of Spices</c:v>
                      </c:pt>
                      <c:pt idx="10">
                        <c:v>Sum of Non-alcoholic beverages</c:v>
                      </c:pt>
                      <c:pt idx="11">
                        <c:v>Sum of Prepared meals, snacks, sweets etc.</c:v>
                      </c:pt>
                      <c:pt idx="12">
                        <c:v>Sum of Food and beverages</c:v>
                      </c:pt>
                      <c:pt idx="13">
                        <c:v>Sum of Pan, tobacco and intoxicants</c:v>
                      </c:pt>
                    </c:strCache>
                  </c:strRef>
                </c:cat>
                <c:val>
                  <c:numRef>
                    <c:extLst xmlns:c15="http://schemas.microsoft.com/office/drawing/2012/chart">
                      <c:ext xmlns:c15="http://schemas.microsoft.com/office/drawing/2012/chart" uri="{02D57815-91ED-43cb-92C2-25804820EDAC}">
                        <c15:formulaRef>
                          <c15:sqref>'Solution 3'!$K$48:$K$61</c15:sqref>
                        </c15:formulaRef>
                      </c:ext>
                    </c:extLst>
                    <c:numCache>
                      <c:formatCode>General</c:formatCode>
                      <c:ptCount val="14"/>
                      <c:pt idx="0">
                        <c:v>521.59999999999991</c:v>
                      </c:pt>
                      <c:pt idx="1">
                        <c:v>645.20000000000005</c:v>
                      </c:pt>
                      <c:pt idx="2">
                        <c:v>520.9</c:v>
                      </c:pt>
                      <c:pt idx="3">
                        <c:v>538.5</c:v>
                      </c:pt>
                      <c:pt idx="4">
                        <c:v>507.7</c:v>
                      </c:pt>
                      <c:pt idx="5">
                        <c:v>517</c:v>
                      </c:pt>
                      <c:pt idx="6">
                        <c:v>494.7</c:v>
                      </c:pt>
                      <c:pt idx="7">
                        <c:v>527.4</c:v>
                      </c:pt>
                      <c:pt idx="8">
                        <c:v>368.8</c:v>
                      </c:pt>
                      <c:pt idx="9">
                        <c:v>650.9</c:v>
                      </c:pt>
                      <c:pt idx="10">
                        <c:v>518</c:v>
                      </c:pt>
                      <c:pt idx="11">
                        <c:v>583</c:v>
                      </c:pt>
                      <c:pt idx="12">
                        <c:v>539</c:v>
                      </c:pt>
                      <c:pt idx="13">
                        <c:v>605.1</c:v>
                      </c:pt>
                    </c:numCache>
                  </c:numRef>
                </c:val>
                <c:smooth val="0"/>
                <c:extLst xmlns:c15="http://schemas.microsoft.com/office/drawing/2012/chart">
                  <c:ext xmlns:c16="http://schemas.microsoft.com/office/drawing/2014/chart" uri="{C3380CC4-5D6E-409C-BE32-E72D297353CC}">
                    <c16:uniqueId val="{00000001-270E-4354-A6AC-A701183AC251}"/>
                  </c:ext>
                </c:extLst>
              </c15:ser>
            </c15:filteredLineSeries>
          </c:ext>
        </c:extLst>
      </c:lineChart>
      <c:catAx>
        <c:axId val="20774849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751855"/>
        <c:crosses val="autoZero"/>
        <c:auto val="1"/>
        <c:lblAlgn val="ctr"/>
        <c:lblOffset val="100"/>
        <c:noMultiLvlLbl val="0"/>
      </c:catAx>
      <c:valAx>
        <c:axId val="207751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74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accent1">
          <a:shade val="15000"/>
          <a:alpha val="96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7.4689526880710469E-2"/>
          <c:y val="3.146859058076678E-2"/>
          <c:w val="0.92508662013162091"/>
          <c:h val="0.6714577865266842"/>
        </c:manualLayout>
      </c:layout>
      <c:barChart>
        <c:barDir val="col"/>
        <c:grouping val="clustered"/>
        <c:varyColors val="0"/>
        <c:ser>
          <c:idx val="2"/>
          <c:order val="2"/>
          <c:tx>
            <c:strRef>
              <c:f>'Solution 4'!$G$8</c:f>
              <c:strCache>
                <c:ptCount val="1"/>
                <c:pt idx="0">
                  <c:v>Inflation</c:v>
                </c:pt>
              </c:strCache>
            </c:strRef>
          </c:tx>
          <c:spPr>
            <a:pattFill prst="ltUpDiag">
              <a:fgClr>
                <a:schemeClr val="accent3"/>
              </a:fgClr>
              <a:bgClr>
                <a:schemeClr val="lt1"/>
              </a:bgClr>
            </a:pattFill>
            <a:ln>
              <a:noFill/>
            </a:ln>
            <a:effectLst/>
          </c:spPr>
          <c:invertIfNegative val="0"/>
          <c:cat>
            <c:multiLvlStrRef>
              <c:f>'Solution 4'!$B$9:$D$17</c:f>
              <c:multiLvlStrCache>
                <c:ptCount val="9"/>
                <c:lvl>
                  <c:pt idx="0">
                    <c:v>Pre</c:v>
                  </c:pt>
                  <c:pt idx="1">
                    <c:v>Pre</c:v>
                  </c:pt>
                  <c:pt idx="2">
                    <c:v>Pre</c:v>
                  </c:pt>
                  <c:pt idx="3">
                    <c:v>Pre</c:v>
                  </c:pt>
                  <c:pt idx="4">
                    <c:v>Mar-20</c:v>
                  </c:pt>
                  <c:pt idx="5">
                    <c:v>Post</c:v>
                  </c:pt>
                  <c:pt idx="6">
                    <c:v>Post</c:v>
                  </c:pt>
                  <c:pt idx="7">
                    <c:v>Post</c:v>
                  </c:pt>
                  <c:pt idx="8">
                    <c:v>Post</c:v>
                  </c:pt>
                </c:lvl>
                <c:lvl>
                  <c:pt idx="0">
                    <c:v>May-19</c:v>
                  </c:pt>
                  <c:pt idx="1">
                    <c:v>Aug-19</c:v>
                  </c:pt>
                  <c:pt idx="2">
                    <c:v>Nov-19</c:v>
                  </c:pt>
                  <c:pt idx="3">
                    <c:v>Feb-20</c:v>
                  </c:pt>
                  <c:pt idx="5">
                    <c:v>Jun-20</c:v>
                  </c:pt>
                  <c:pt idx="6">
                    <c:v>Sep-20</c:v>
                  </c:pt>
                  <c:pt idx="7">
                    <c:v>Dec-20</c:v>
                  </c:pt>
                  <c:pt idx="8">
                    <c:v>Mar-21</c:v>
                  </c:pt>
                </c:lvl>
                <c:lvl>
                  <c:pt idx="0">
                    <c:v>Mar-19</c:v>
                  </c:pt>
                  <c:pt idx="1">
                    <c:v>Jun-19</c:v>
                  </c:pt>
                  <c:pt idx="2">
                    <c:v>Sep-19</c:v>
                  </c:pt>
                  <c:pt idx="3">
                    <c:v>Dec-19</c:v>
                  </c:pt>
                  <c:pt idx="5">
                    <c:v>Apr-20</c:v>
                  </c:pt>
                  <c:pt idx="6">
                    <c:v>Jul-20</c:v>
                  </c:pt>
                  <c:pt idx="7">
                    <c:v>Oct-20</c:v>
                  </c:pt>
                  <c:pt idx="8">
                    <c:v>Jan-21</c:v>
                  </c:pt>
                </c:lvl>
              </c:multiLvlStrCache>
            </c:multiLvlStrRef>
          </c:cat>
          <c:val>
            <c:numRef>
              <c:f>'Solution 4'!$G$9:$G$17</c:f>
              <c:numCache>
                <c:formatCode>0.0%</c:formatCode>
                <c:ptCount val="9"/>
                <c:pt idx="0">
                  <c:v>1.2984001854857314E-2</c:v>
                </c:pt>
                <c:pt idx="1">
                  <c:v>1.439782332119894E-2</c:v>
                </c:pt>
                <c:pt idx="2">
                  <c:v>2.2456643114778532E-2</c:v>
                </c:pt>
                <c:pt idx="3">
                  <c:v>-8.4627579055270158E-3</c:v>
                </c:pt>
                <c:pt idx="5">
                  <c:v>7.2552748148297088E-3</c:v>
                </c:pt>
                <c:pt idx="6">
                  <c:v>1.9198166703691018E-2</c:v>
                </c:pt>
                <c:pt idx="7">
                  <c:v>2.2162388424422499E-2</c:v>
                </c:pt>
                <c:pt idx="8">
                  <c:v>-8.2408379301876968E-3</c:v>
                </c:pt>
              </c:numCache>
            </c:numRef>
          </c:val>
          <c:extLst>
            <c:ext xmlns:c16="http://schemas.microsoft.com/office/drawing/2014/chart" uri="{C3380CC4-5D6E-409C-BE32-E72D297353CC}">
              <c16:uniqueId val="{00000002-91ED-4218-AD2F-B88E6C80A4B0}"/>
            </c:ext>
          </c:extLst>
        </c:ser>
        <c:dLbls>
          <c:showLegendKey val="0"/>
          <c:showVal val="0"/>
          <c:showCatName val="0"/>
          <c:showSerName val="0"/>
          <c:showPercent val="0"/>
          <c:showBubbleSize val="0"/>
        </c:dLbls>
        <c:gapWidth val="269"/>
        <c:overlap val="-20"/>
        <c:axId val="274600207"/>
        <c:axId val="274600687"/>
        <c:extLst>
          <c:ext xmlns:c15="http://schemas.microsoft.com/office/drawing/2012/chart" uri="{02D57815-91ED-43cb-92C2-25804820EDAC}">
            <c15:filteredBarSeries>
              <c15:ser>
                <c:idx val="0"/>
                <c:order val="0"/>
                <c:tx>
                  <c:strRef>
                    <c:extLst>
                      <c:ext uri="{02D57815-91ED-43cb-92C2-25804820EDAC}">
                        <c15:formulaRef>
                          <c15:sqref>'Solution 4'!$E$8</c15:sqref>
                        </c15:formulaRef>
                      </c:ext>
                    </c:extLst>
                    <c:strCache>
                      <c:ptCount val="1"/>
                      <c:pt idx="0">
                        <c:v>CPI - Start</c:v>
                      </c:pt>
                    </c:strCache>
                  </c:strRef>
                </c:tx>
                <c:spPr>
                  <a:pattFill prst="ltUpDiag">
                    <a:fgClr>
                      <a:schemeClr val="accent1"/>
                    </a:fgClr>
                    <a:bgClr>
                      <a:schemeClr val="lt1"/>
                    </a:bgClr>
                  </a:pattFill>
                  <a:ln>
                    <a:noFill/>
                  </a:ln>
                  <a:effectLst/>
                </c:spPr>
                <c:invertIfNegative val="0"/>
                <c:cat>
                  <c:multiLvlStrRef>
                    <c:extLst>
                      <c:ext uri="{02D57815-91ED-43cb-92C2-25804820EDAC}">
                        <c15:formulaRef>
                          <c15:sqref>'Solution 4'!$B$9:$D$17</c15:sqref>
                        </c15:formulaRef>
                      </c:ext>
                    </c:extLst>
                    <c:multiLvlStrCache>
                      <c:ptCount val="9"/>
                      <c:lvl>
                        <c:pt idx="0">
                          <c:v>Pre</c:v>
                        </c:pt>
                        <c:pt idx="1">
                          <c:v>Pre</c:v>
                        </c:pt>
                        <c:pt idx="2">
                          <c:v>Pre</c:v>
                        </c:pt>
                        <c:pt idx="3">
                          <c:v>Pre</c:v>
                        </c:pt>
                        <c:pt idx="4">
                          <c:v>Mar-20</c:v>
                        </c:pt>
                        <c:pt idx="5">
                          <c:v>Post</c:v>
                        </c:pt>
                        <c:pt idx="6">
                          <c:v>Post</c:v>
                        </c:pt>
                        <c:pt idx="7">
                          <c:v>Post</c:v>
                        </c:pt>
                        <c:pt idx="8">
                          <c:v>Post</c:v>
                        </c:pt>
                      </c:lvl>
                      <c:lvl>
                        <c:pt idx="0">
                          <c:v>May-19</c:v>
                        </c:pt>
                        <c:pt idx="1">
                          <c:v>Aug-19</c:v>
                        </c:pt>
                        <c:pt idx="2">
                          <c:v>Nov-19</c:v>
                        </c:pt>
                        <c:pt idx="3">
                          <c:v>Feb-20</c:v>
                        </c:pt>
                        <c:pt idx="5">
                          <c:v>Jun-20</c:v>
                        </c:pt>
                        <c:pt idx="6">
                          <c:v>Sep-20</c:v>
                        </c:pt>
                        <c:pt idx="7">
                          <c:v>Dec-20</c:v>
                        </c:pt>
                        <c:pt idx="8">
                          <c:v>Mar-21</c:v>
                        </c:pt>
                      </c:lvl>
                      <c:lvl>
                        <c:pt idx="0">
                          <c:v>Mar-19</c:v>
                        </c:pt>
                        <c:pt idx="1">
                          <c:v>Jun-19</c:v>
                        </c:pt>
                        <c:pt idx="2">
                          <c:v>Sep-19</c:v>
                        </c:pt>
                        <c:pt idx="3">
                          <c:v>Dec-19</c:v>
                        </c:pt>
                        <c:pt idx="5">
                          <c:v>Apr-20</c:v>
                        </c:pt>
                        <c:pt idx="6">
                          <c:v>Jul-20</c:v>
                        </c:pt>
                        <c:pt idx="7">
                          <c:v>Oct-20</c:v>
                        </c:pt>
                        <c:pt idx="8">
                          <c:v>Jan-21</c:v>
                        </c:pt>
                      </c:lvl>
                    </c:multiLvlStrCache>
                  </c:multiLvlStrRef>
                </c:cat>
                <c:val>
                  <c:numRef>
                    <c:extLst>
                      <c:ext uri="{02D57815-91ED-43cb-92C2-25804820EDAC}">
                        <c15:formulaRef>
                          <c15:sqref>'Solution 4'!$E$9:$E$17</c15:sqref>
                        </c15:formulaRef>
                      </c:ext>
                    </c:extLst>
                    <c:numCache>
                      <c:formatCode>General</c:formatCode>
                      <c:ptCount val="9"/>
                      <c:pt idx="0">
                        <c:v>7763.4000000000005</c:v>
                      </c:pt>
                      <c:pt idx="1">
                        <c:v>7938.6999999999989</c:v>
                      </c:pt>
                      <c:pt idx="2">
                        <c:v>8095.6</c:v>
                      </c:pt>
                      <c:pt idx="3">
                        <c:v>8389.6999999999989</c:v>
                      </c:pt>
                      <c:pt idx="5" formatCode="0.0">
                        <c:v>8491.2933333333349</c:v>
                      </c:pt>
                      <c:pt idx="6">
                        <c:v>8552.9</c:v>
                      </c:pt>
                      <c:pt idx="7">
                        <c:v>8839.3000000000011</c:v>
                      </c:pt>
                      <c:pt idx="8">
                        <c:v>8955.4000000000015</c:v>
                      </c:pt>
                    </c:numCache>
                  </c:numRef>
                </c:val>
                <c:extLst>
                  <c:ext xmlns:c16="http://schemas.microsoft.com/office/drawing/2014/chart" uri="{C3380CC4-5D6E-409C-BE32-E72D297353CC}">
                    <c16:uniqueId val="{00000000-91ED-4218-AD2F-B88E6C80A4B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'Solution 4'!$F$8</c15:sqref>
                        </c15:formulaRef>
                      </c:ext>
                    </c:extLst>
                    <c:strCache>
                      <c:ptCount val="1"/>
                      <c:pt idx="0">
                        <c:v>CPI- End</c:v>
                      </c:pt>
                    </c:strCache>
                  </c:strRef>
                </c:tx>
                <c:spPr>
                  <a:pattFill prst="ltUpDiag">
                    <a:fgClr>
                      <a:schemeClr val="accent2"/>
                    </a:fgClr>
                    <a:bgClr>
                      <a:schemeClr val="lt1"/>
                    </a:bgClr>
                  </a:pattFill>
                  <a:ln>
                    <a:noFill/>
                  </a:ln>
                  <a:effectLst/>
                </c:spPr>
                <c:invertIfNegative val="0"/>
                <c:cat>
                  <c:multiLvlStrRef>
                    <c:extLst xmlns:c15="http://schemas.microsoft.com/office/drawing/2012/chart">
                      <c:ext xmlns:c15="http://schemas.microsoft.com/office/drawing/2012/chart" uri="{02D57815-91ED-43cb-92C2-25804820EDAC}">
                        <c15:formulaRef>
                          <c15:sqref>'Solution 4'!$B$9:$D$17</c15:sqref>
                        </c15:formulaRef>
                      </c:ext>
                    </c:extLst>
                    <c:multiLvlStrCache>
                      <c:ptCount val="9"/>
                      <c:lvl>
                        <c:pt idx="0">
                          <c:v>Pre</c:v>
                        </c:pt>
                        <c:pt idx="1">
                          <c:v>Pre</c:v>
                        </c:pt>
                        <c:pt idx="2">
                          <c:v>Pre</c:v>
                        </c:pt>
                        <c:pt idx="3">
                          <c:v>Pre</c:v>
                        </c:pt>
                        <c:pt idx="4">
                          <c:v>Mar-20</c:v>
                        </c:pt>
                        <c:pt idx="5">
                          <c:v>Post</c:v>
                        </c:pt>
                        <c:pt idx="6">
                          <c:v>Post</c:v>
                        </c:pt>
                        <c:pt idx="7">
                          <c:v>Post</c:v>
                        </c:pt>
                        <c:pt idx="8">
                          <c:v>Post</c:v>
                        </c:pt>
                      </c:lvl>
                      <c:lvl>
                        <c:pt idx="0">
                          <c:v>May-19</c:v>
                        </c:pt>
                        <c:pt idx="1">
                          <c:v>Aug-19</c:v>
                        </c:pt>
                        <c:pt idx="2">
                          <c:v>Nov-19</c:v>
                        </c:pt>
                        <c:pt idx="3">
                          <c:v>Feb-20</c:v>
                        </c:pt>
                        <c:pt idx="5">
                          <c:v>Jun-20</c:v>
                        </c:pt>
                        <c:pt idx="6">
                          <c:v>Sep-20</c:v>
                        </c:pt>
                        <c:pt idx="7">
                          <c:v>Dec-20</c:v>
                        </c:pt>
                        <c:pt idx="8">
                          <c:v>Mar-21</c:v>
                        </c:pt>
                      </c:lvl>
                      <c:lvl>
                        <c:pt idx="0">
                          <c:v>Mar-19</c:v>
                        </c:pt>
                        <c:pt idx="1">
                          <c:v>Jun-19</c:v>
                        </c:pt>
                        <c:pt idx="2">
                          <c:v>Sep-19</c:v>
                        </c:pt>
                        <c:pt idx="3">
                          <c:v>Dec-19</c:v>
                        </c:pt>
                        <c:pt idx="5">
                          <c:v>Apr-20</c:v>
                        </c:pt>
                        <c:pt idx="6">
                          <c:v>Jul-20</c:v>
                        </c:pt>
                        <c:pt idx="7">
                          <c:v>Oct-20</c:v>
                        </c:pt>
                        <c:pt idx="8">
                          <c:v>Jan-21</c:v>
                        </c:pt>
                      </c:lvl>
                    </c:multiLvlStrCache>
                  </c:multiLvlStrRef>
                </c:cat>
                <c:val>
                  <c:numRef>
                    <c:extLst xmlns:c15="http://schemas.microsoft.com/office/drawing/2012/chart">
                      <c:ext xmlns:c15="http://schemas.microsoft.com/office/drawing/2012/chart" uri="{02D57815-91ED-43cb-92C2-25804820EDAC}">
                        <c15:formulaRef>
                          <c15:sqref>'Solution 4'!$F$9:$F$17</c15:sqref>
                        </c15:formulaRef>
                      </c:ext>
                    </c:extLst>
                    <c:numCache>
                      <c:formatCode>General</c:formatCode>
                      <c:ptCount val="9"/>
                      <c:pt idx="0">
                        <c:v>7864.2</c:v>
                      </c:pt>
                      <c:pt idx="1">
                        <c:v>8053.0000000000009</c:v>
                      </c:pt>
                      <c:pt idx="2">
                        <c:v>8277.4000000000015</c:v>
                      </c:pt>
                      <c:pt idx="3">
                        <c:v>8318.6999999999989</c:v>
                      </c:pt>
                      <c:pt idx="5">
                        <c:v>8552.9</c:v>
                      </c:pt>
                      <c:pt idx="6">
                        <c:v>8717.0999999999985</c:v>
                      </c:pt>
                      <c:pt idx="7">
                        <c:v>9035.1999999999989</c:v>
                      </c:pt>
                      <c:pt idx="8">
                        <c:v>8881.5999999999985</c:v>
                      </c:pt>
                    </c:numCache>
                  </c:numRef>
                </c:val>
                <c:extLst xmlns:c15="http://schemas.microsoft.com/office/drawing/2012/chart">
                  <c:ext xmlns:c16="http://schemas.microsoft.com/office/drawing/2014/chart" uri="{C3380CC4-5D6E-409C-BE32-E72D297353CC}">
                    <c16:uniqueId val="{00000001-91ED-4218-AD2F-B88E6C80A4B0}"/>
                  </c:ext>
                </c:extLst>
              </c15:ser>
            </c15:filteredBarSeries>
          </c:ext>
        </c:extLst>
      </c:barChart>
      <c:catAx>
        <c:axId val="2746002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low"/>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74600687"/>
        <c:crosses val="autoZero"/>
        <c:auto val="1"/>
        <c:lblAlgn val="ctr"/>
        <c:lblOffset val="100"/>
        <c:noMultiLvlLbl val="0"/>
      </c:catAx>
      <c:valAx>
        <c:axId val="274600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460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990600</xdr:colOff>
      <xdr:row>4</xdr:row>
      <xdr:rowOff>19050</xdr:rowOff>
    </xdr:from>
    <xdr:to>
      <xdr:col>11</xdr:col>
      <xdr:colOff>182880</xdr:colOff>
      <xdr:row>20</xdr:row>
      <xdr:rowOff>19050</xdr:rowOff>
    </xdr:to>
    <xdr:graphicFrame macro="">
      <xdr:nvGraphicFramePr>
        <xdr:cNvPr id="2" name="Chart 1">
          <a:extLst>
            <a:ext uri="{FF2B5EF4-FFF2-40B4-BE49-F238E27FC236}">
              <a16:creationId xmlns:a16="http://schemas.microsoft.com/office/drawing/2014/main" id="{52613AA5-4E30-2394-3678-809488147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0</xdr:row>
      <xdr:rowOff>152400</xdr:rowOff>
    </xdr:from>
    <xdr:to>
      <xdr:col>10</xdr:col>
      <xdr:colOff>60960</xdr:colOff>
      <xdr:row>3</xdr:row>
      <xdr:rowOff>7620</xdr:rowOff>
    </xdr:to>
    <xdr:sp macro="" textlink="">
      <xdr:nvSpPr>
        <xdr:cNvPr id="3" name="Rectangle 2">
          <a:extLst>
            <a:ext uri="{FF2B5EF4-FFF2-40B4-BE49-F238E27FC236}">
              <a16:creationId xmlns:a16="http://schemas.microsoft.com/office/drawing/2014/main" id="{73E7441E-1EE3-1DC2-44F2-203A3F7D7506}"/>
            </a:ext>
          </a:extLst>
        </xdr:cNvPr>
        <xdr:cNvSpPr/>
      </xdr:nvSpPr>
      <xdr:spPr>
        <a:xfrm>
          <a:off x="3726180" y="152400"/>
          <a:ext cx="6880860" cy="403860"/>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rgbClr val="002060"/>
              </a:solidFill>
              <a:latin typeface="Berlin Sans FB Demi" panose="020E0802020502020306" pitchFamily="34" charset="0"/>
            </a:rPr>
            <a:t>Contribution of Broader</a:t>
          </a:r>
          <a:r>
            <a:rPr lang="en-IN" sz="2000" b="1" baseline="0">
              <a:solidFill>
                <a:srgbClr val="002060"/>
              </a:solidFill>
              <a:latin typeface="Berlin Sans FB Demi" panose="020E0802020502020306" pitchFamily="34" charset="0"/>
            </a:rPr>
            <a:t> Categories towads CPI Inflation</a:t>
          </a:r>
          <a:endParaRPr lang="en-IN" sz="2000" b="1">
            <a:solidFill>
              <a:srgbClr val="002060"/>
            </a:solidFill>
            <a:latin typeface="Berlin Sans FB Demi" panose="020E0802020502020306" pitchFamily="34" charset="0"/>
          </a:endParaRPr>
        </a:p>
      </xdr:txBody>
    </xdr:sp>
    <xdr:clientData/>
  </xdr:twoCellAnchor>
  <xdr:twoCellAnchor>
    <xdr:from>
      <xdr:col>0</xdr:col>
      <xdr:colOff>0</xdr:colOff>
      <xdr:row>21</xdr:row>
      <xdr:rowOff>137160</xdr:rowOff>
    </xdr:from>
    <xdr:to>
      <xdr:col>12</xdr:col>
      <xdr:colOff>754380</xdr:colOff>
      <xdr:row>30</xdr:row>
      <xdr:rowOff>121920</xdr:rowOff>
    </xdr:to>
    <xdr:sp macro="" textlink="">
      <xdr:nvSpPr>
        <xdr:cNvPr id="5" name="Rectangle 4">
          <a:extLst>
            <a:ext uri="{FF2B5EF4-FFF2-40B4-BE49-F238E27FC236}">
              <a16:creationId xmlns:a16="http://schemas.microsoft.com/office/drawing/2014/main" id="{D5F89DF1-81DE-D8E5-FAD8-D5AAF8BB5CCC}"/>
            </a:ext>
          </a:extLst>
        </xdr:cNvPr>
        <xdr:cNvSpPr/>
      </xdr:nvSpPr>
      <xdr:spPr>
        <a:xfrm>
          <a:off x="0" y="3977640"/>
          <a:ext cx="13319760" cy="163068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190500</xdr:colOff>
      <xdr:row>4</xdr:row>
      <xdr:rowOff>0</xdr:rowOff>
    </xdr:from>
    <xdr:to>
      <xdr:col>13</xdr:col>
      <xdr:colOff>487680</xdr:colOff>
      <xdr:row>22</xdr:row>
      <xdr:rowOff>167640</xdr:rowOff>
    </xdr:to>
    <xdr:graphicFrame macro="">
      <xdr:nvGraphicFramePr>
        <xdr:cNvPr id="5" name="Chart 4">
          <a:extLst>
            <a:ext uri="{FF2B5EF4-FFF2-40B4-BE49-F238E27FC236}">
              <a16:creationId xmlns:a16="http://schemas.microsoft.com/office/drawing/2014/main" id="{3EDF0B63-4D1B-9186-43A3-7013E8D7D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144780</xdr:colOff>
      <xdr:row>0</xdr:row>
      <xdr:rowOff>175260</xdr:rowOff>
    </xdr:from>
    <xdr:to>
      <xdr:col>13</xdr:col>
      <xdr:colOff>464820</xdr:colOff>
      <xdr:row>3</xdr:row>
      <xdr:rowOff>137160</xdr:rowOff>
    </xdr:to>
    <xdr:sp macro="" textlink="">
      <xdr:nvSpPr>
        <xdr:cNvPr id="2" name="Rectangle 1">
          <a:extLst>
            <a:ext uri="{FF2B5EF4-FFF2-40B4-BE49-F238E27FC236}">
              <a16:creationId xmlns:a16="http://schemas.microsoft.com/office/drawing/2014/main" id="{5B28FAC5-2C7E-D8BE-1482-C22150471D85}"/>
            </a:ext>
          </a:extLst>
        </xdr:cNvPr>
        <xdr:cNvSpPr/>
      </xdr:nvSpPr>
      <xdr:spPr>
        <a:xfrm>
          <a:off x="4914900" y="175260"/>
          <a:ext cx="6225540" cy="510540"/>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solidFill>
                <a:srgbClr val="002060"/>
              </a:solidFill>
              <a:latin typeface="Berlin Sans FB Demi" panose="020E0802020502020306" pitchFamily="34" charset="0"/>
            </a:rPr>
            <a:t>Y-O-Y increase in CPI for</a:t>
          </a:r>
          <a:r>
            <a:rPr lang="en-IN" sz="2000" b="1" baseline="0">
              <a:solidFill>
                <a:srgbClr val="002060"/>
              </a:solidFill>
              <a:latin typeface="Berlin Sans FB Demi" panose="020E0802020502020306" pitchFamily="34" charset="0"/>
            </a:rPr>
            <a:t> Rural + Urban Sector</a:t>
          </a:r>
          <a:endParaRPr lang="en-IN" sz="2000" b="1">
            <a:solidFill>
              <a:srgbClr val="002060"/>
            </a:solidFill>
            <a:latin typeface="Berlin Sans FB Demi" panose="020E0802020502020306" pitchFamily="34" charset="0"/>
          </a:endParaRPr>
        </a:p>
      </xdr:txBody>
    </xdr:sp>
    <xdr:clientData/>
  </xdr:twoCellAnchor>
  <xdr:twoCellAnchor>
    <xdr:from>
      <xdr:col>0</xdr:col>
      <xdr:colOff>7620</xdr:colOff>
      <xdr:row>27</xdr:row>
      <xdr:rowOff>0</xdr:rowOff>
    </xdr:from>
    <xdr:to>
      <xdr:col>15</xdr:col>
      <xdr:colOff>876300</xdr:colOff>
      <xdr:row>31</xdr:row>
      <xdr:rowOff>175260</xdr:rowOff>
    </xdr:to>
    <xdr:sp macro="" textlink="">
      <xdr:nvSpPr>
        <xdr:cNvPr id="3" name="Rectangle 2">
          <a:extLst>
            <a:ext uri="{FF2B5EF4-FFF2-40B4-BE49-F238E27FC236}">
              <a16:creationId xmlns:a16="http://schemas.microsoft.com/office/drawing/2014/main" id="{A3DE926D-4E01-7790-68B9-CB3C9494EF3F}"/>
            </a:ext>
          </a:extLst>
        </xdr:cNvPr>
        <xdr:cNvSpPr/>
      </xdr:nvSpPr>
      <xdr:spPr>
        <a:xfrm>
          <a:off x="7620" y="5044440"/>
          <a:ext cx="14013180" cy="9067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0.31572</cdr:x>
      <cdr:y>0.09868</cdr:y>
    </cdr:from>
    <cdr:to>
      <cdr:x>0.74447</cdr:x>
      <cdr:y>0.21483</cdr:y>
    </cdr:to>
    <cdr:sp macro="" textlink="">
      <cdr:nvSpPr>
        <cdr:cNvPr id="2" name="Speech Bubble: Oval 1">
          <a:extLst xmlns:a="http://schemas.openxmlformats.org/drawingml/2006/main">
            <a:ext uri="{FF2B5EF4-FFF2-40B4-BE49-F238E27FC236}">
              <a16:creationId xmlns:a16="http://schemas.microsoft.com/office/drawing/2014/main" id="{823213AA-EEE0-7B8E-497D-198C4BE10AF5}"/>
            </a:ext>
          </a:extLst>
        </cdr:cNvPr>
        <cdr:cNvSpPr/>
      </cdr:nvSpPr>
      <cdr:spPr>
        <a:xfrm xmlns:a="http://schemas.openxmlformats.org/drawingml/2006/main">
          <a:off x="1958340" y="342900"/>
          <a:ext cx="2659380" cy="403583"/>
        </a:xfrm>
        <a:prstGeom xmlns:a="http://schemas.openxmlformats.org/drawingml/2006/main" prst="wedgeEllipseCallout">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b="1" kern="1200">
              <a:solidFill>
                <a:schemeClr val="accent6">
                  <a:lumMod val="50000"/>
                </a:schemeClr>
              </a:solidFill>
            </a:rPr>
            <a:t>Highest Inflation</a:t>
          </a:r>
          <a:r>
            <a:rPr lang="en-IN" sz="1400" b="1" kern="1200" baseline="0">
              <a:solidFill>
                <a:schemeClr val="accent6">
                  <a:lumMod val="50000"/>
                </a:schemeClr>
              </a:solidFill>
            </a:rPr>
            <a:t> Rate</a:t>
          </a:r>
          <a:endParaRPr lang="en-IN" sz="1400" b="1" kern="1200">
            <a:solidFill>
              <a:schemeClr val="accent6">
                <a:lumMod val="50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693420</xdr:colOff>
      <xdr:row>3</xdr:row>
      <xdr:rowOff>156210</xdr:rowOff>
    </xdr:from>
    <xdr:to>
      <xdr:col>8</xdr:col>
      <xdr:colOff>1470660</xdr:colOff>
      <xdr:row>27</xdr:row>
      <xdr:rowOff>91440</xdr:rowOff>
    </xdr:to>
    <xdr:graphicFrame macro="">
      <xdr:nvGraphicFramePr>
        <xdr:cNvPr id="4" name="Chart 3">
          <a:extLst>
            <a:ext uri="{FF2B5EF4-FFF2-40B4-BE49-F238E27FC236}">
              <a16:creationId xmlns:a16="http://schemas.microsoft.com/office/drawing/2014/main" id="{AB2962E7-6BEB-8D5A-E8FE-CDD0B8B94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5</xdr:row>
      <xdr:rowOff>152400</xdr:rowOff>
    </xdr:from>
    <xdr:to>
      <xdr:col>4</xdr:col>
      <xdr:colOff>1485900</xdr:colOff>
      <xdr:row>8</xdr:row>
      <xdr:rowOff>7620</xdr:rowOff>
    </xdr:to>
    <xdr:sp macro="" textlink="">
      <xdr:nvSpPr>
        <xdr:cNvPr id="5" name="Speech Bubble: Oval 4">
          <a:extLst>
            <a:ext uri="{FF2B5EF4-FFF2-40B4-BE49-F238E27FC236}">
              <a16:creationId xmlns:a16="http://schemas.microsoft.com/office/drawing/2014/main" id="{16DEC702-E4FD-3575-75CE-D3D8486810BE}"/>
            </a:ext>
          </a:extLst>
        </xdr:cNvPr>
        <xdr:cNvSpPr/>
      </xdr:nvSpPr>
      <xdr:spPr>
        <a:xfrm>
          <a:off x="3314700" y="1150620"/>
          <a:ext cx="2049780" cy="403860"/>
        </a:xfrm>
        <a:prstGeom prst="wedgeEllipseCallout">
          <a:avLst/>
        </a:prstGeom>
        <a:solidFill>
          <a:srgbClr val="CC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Highest Food Inflation</a:t>
          </a:r>
        </a:p>
      </xdr:txBody>
    </xdr:sp>
    <xdr:clientData/>
  </xdr:twoCellAnchor>
  <xdr:twoCellAnchor>
    <xdr:from>
      <xdr:col>5</xdr:col>
      <xdr:colOff>1219200</xdr:colOff>
      <xdr:row>18</xdr:row>
      <xdr:rowOff>15240</xdr:rowOff>
    </xdr:from>
    <xdr:to>
      <xdr:col>7</xdr:col>
      <xdr:colOff>1173480</xdr:colOff>
      <xdr:row>20</xdr:row>
      <xdr:rowOff>99060</xdr:rowOff>
    </xdr:to>
    <xdr:sp macro="" textlink="">
      <xdr:nvSpPr>
        <xdr:cNvPr id="6" name="Speech Bubble: Oval 5">
          <a:extLst>
            <a:ext uri="{FF2B5EF4-FFF2-40B4-BE49-F238E27FC236}">
              <a16:creationId xmlns:a16="http://schemas.microsoft.com/office/drawing/2014/main" id="{414095AF-559F-BB1D-79C8-4283883FE1D5}"/>
            </a:ext>
          </a:extLst>
        </xdr:cNvPr>
        <xdr:cNvSpPr/>
      </xdr:nvSpPr>
      <xdr:spPr>
        <a:xfrm>
          <a:off x="6675120" y="3390900"/>
          <a:ext cx="2004060" cy="449580"/>
        </a:xfrm>
        <a:prstGeom prst="wedgeEllipseCallout">
          <a:avLst/>
        </a:prstGeom>
        <a:solidFill>
          <a:srgbClr val="CC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Lowest Food Inflation</a:t>
          </a:r>
        </a:p>
      </xdr:txBody>
    </xdr:sp>
    <xdr:clientData/>
  </xdr:twoCellAnchor>
  <xdr:twoCellAnchor>
    <xdr:from>
      <xdr:col>0</xdr:col>
      <xdr:colOff>152400</xdr:colOff>
      <xdr:row>45</xdr:row>
      <xdr:rowOff>129540</xdr:rowOff>
    </xdr:from>
    <xdr:to>
      <xdr:col>7</xdr:col>
      <xdr:colOff>426720</xdr:colOff>
      <xdr:row>64</xdr:row>
      <xdr:rowOff>22860</xdr:rowOff>
    </xdr:to>
    <xdr:graphicFrame macro="">
      <xdr:nvGraphicFramePr>
        <xdr:cNvPr id="2" name="Chart 1">
          <a:extLst>
            <a:ext uri="{FF2B5EF4-FFF2-40B4-BE49-F238E27FC236}">
              <a16:creationId xmlns:a16="http://schemas.microsoft.com/office/drawing/2014/main" id="{8F0A96CC-90A6-DD1A-B308-628A1C0FC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0</xdr:row>
      <xdr:rowOff>45720</xdr:rowOff>
    </xdr:from>
    <xdr:to>
      <xdr:col>8</xdr:col>
      <xdr:colOff>784860</xdr:colOff>
      <xdr:row>2</xdr:row>
      <xdr:rowOff>152400</xdr:rowOff>
    </xdr:to>
    <xdr:sp macro="" textlink="">
      <xdr:nvSpPr>
        <xdr:cNvPr id="3" name="Rectangle 2">
          <a:extLst>
            <a:ext uri="{FF2B5EF4-FFF2-40B4-BE49-F238E27FC236}">
              <a16:creationId xmlns:a16="http://schemas.microsoft.com/office/drawing/2014/main" id="{2EB26AC0-3495-A563-D219-69D380D8B16D}"/>
            </a:ext>
          </a:extLst>
        </xdr:cNvPr>
        <xdr:cNvSpPr/>
      </xdr:nvSpPr>
      <xdr:spPr>
        <a:xfrm>
          <a:off x="4046220" y="45720"/>
          <a:ext cx="5699760" cy="472440"/>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solidFill>
                <a:srgbClr val="002060"/>
              </a:solidFill>
              <a:latin typeface="Berlin Sans FB Demi" panose="020E0802020502020306" pitchFamily="34" charset="0"/>
            </a:rPr>
            <a:t>M-O-M</a:t>
          </a:r>
          <a:r>
            <a:rPr lang="en-IN" sz="1800" baseline="0">
              <a:solidFill>
                <a:srgbClr val="002060"/>
              </a:solidFill>
              <a:latin typeface="Berlin Sans FB Demi" panose="020E0802020502020306" pitchFamily="34" charset="0"/>
            </a:rPr>
            <a:t> Inflation from MAY - 2022 to MAY - 2023</a:t>
          </a:r>
          <a:endParaRPr lang="en-IN" sz="1800">
            <a:solidFill>
              <a:srgbClr val="002060"/>
            </a:solidFill>
            <a:latin typeface="Berlin Sans FB Demi" panose="020E0802020502020306" pitchFamily="34" charset="0"/>
          </a:endParaRPr>
        </a:p>
      </xdr:txBody>
    </xdr:sp>
    <xdr:clientData/>
  </xdr:twoCellAnchor>
  <xdr:twoCellAnchor>
    <xdr:from>
      <xdr:col>2</xdr:col>
      <xdr:colOff>1150620</xdr:colOff>
      <xdr:row>37</xdr:row>
      <xdr:rowOff>175260</xdr:rowOff>
    </xdr:from>
    <xdr:to>
      <xdr:col>8</xdr:col>
      <xdr:colOff>647700</xdr:colOff>
      <xdr:row>39</xdr:row>
      <xdr:rowOff>175260</xdr:rowOff>
    </xdr:to>
    <xdr:sp macro="" textlink="">
      <xdr:nvSpPr>
        <xdr:cNvPr id="7" name="Flowchart: Process 6">
          <a:extLst>
            <a:ext uri="{FF2B5EF4-FFF2-40B4-BE49-F238E27FC236}">
              <a16:creationId xmlns:a16="http://schemas.microsoft.com/office/drawing/2014/main" id="{7F8901B3-39E1-8F5E-A66C-2D82927CFB1F}"/>
            </a:ext>
          </a:extLst>
        </xdr:cNvPr>
        <xdr:cNvSpPr/>
      </xdr:nvSpPr>
      <xdr:spPr>
        <a:xfrm>
          <a:off x="2994660" y="5562600"/>
          <a:ext cx="6614160" cy="365760"/>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latin typeface="Berlin Sans FB Demi" panose="020E0802020502020306" pitchFamily="34" charset="0"/>
            </a:rPr>
            <a:t>CPI Inflation</a:t>
          </a:r>
          <a:r>
            <a:rPr lang="en-IN" sz="1600" b="1" baseline="0">
              <a:latin typeface="Berlin Sans FB Demi" panose="020E0802020502020306" pitchFamily="34" charset="0"/>
            </a:rPr>
            <a:t> of Individual categories in broader category </a:t>
          </a:r>
          <a:r>
            <a:rPr lang="en-IN" sz="1600" b="1" baseline="0">
              <a:solidFill>
                <a:srgbClr val="FF0000"/>
              </a:solidFill>
              <a:latin typeface="Berlin Sans FB Demi" panose="020E0802020502020306" pitchFamily="34" charset="0"/>
            </a:rPr>
            <a:t>"FOOD"</a:t>
          </a:r>
          <a:endParaRPr lang="en-IN" sz="1600" b="1">
            <a:solidFill>
              <a:srgbClr val="FF0000"/>
            </a:solidFill>
            <a:latin typeface="Berlin Sans FB Demi" panose="020E0802020502020306" pitchFamily="34" charset="0"/>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0.6286</cdr:x>
      <cdr:y>0</cdr:y>
    </cdr:from>
    <cdr:to>
      <cdr:x>0.91675</cdr:x>
      <cdr:y>0.07604</cdr:y>
    </cdr:to>
    <cdr:sp macro="" textlink="">
      <cdr:nvSpPr>
        <cdr:cNvPr id="2" name="Speech Bubble: Rectangle with Corners Rounded 1">
          <a:extLst xmlns:a="http://schemas.openxmlformats.org/drawingml/2006/main">
            <a:ext uri="{FF2B5EF4-FFF2-40B4-BE49-F238E27FC236}">
              <a16:creationId xmlns:a16="http://schemas.microsoft.com/office/drawing/2014/main" id="{BE1704F2-3904-B33C-D130-6207DA28E36D}"/>
            </a:ext>
          </a:extLst>
        </cdr:cNvPr>
        <cdr:cNvSpPr/>
      </cdr:nvSpPr>
      <cdr:spPr>
        <a:xfrm xmlns:a="http://schemas.openxmlformats.org/drawingml/2006/main">
          <a:off x="4890504" y="0"/>
          <a:ext cx="2241815" cy="272319"/>
        </a:xfrm>
        <a:prstGeom xmlns:a="http://schemas.openxmlformats.org/drawingml/2006/main" prst="wedgeRoundRectCallou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Spices is the biggest contributor towards inflation</a:t>
          </a:r>
        </a:p>
      </cdr:txBody>
    </cdr:sp>
  </cdr:relSizeAnchor>
</c:userShapes>
</file>

<file path=xl/drawings/drawing6.xml><?xml version="1.0" encoding="utf-8"?>
<xdr:wsDr xmlns:xdr="http://schemas.openxmlformats.org/drawingml/2006/spreadsheetDrawing" xmlns:a="http://schemas.openxmlformats.org/drawingml/2006/main">
  <xdr:twoCellAnchor>
    <xdr:from>
      <xdr:col>8</xdr:col>
      <xdr:colOff>510540</xdr:colOff>
      <xdr:row>6</xdr:row>
      <xdr:rowOff>3810</xdr:rowOff>
    </xdr:from>
    <xdr:to>
      <xdr:col>21</xdr:col>
      <xdr:colOff>251460</xdr:colOff>
      <xdr:row>18</xdr:row>
      <xdr:rowOff>175260</xdr:rowOff>
    </xdr:to>
    <xdr:graphicFrame macro="">
      <xdr:nvGraphicFramePr>
        <xdr:cNvPr id="2" name="Chart 1">
          <a:extLst>
            <a:ext uri="{FF2B5EF4-FFF2-40B4-BE49-F238E27FC236}">
              <a16:creationId xmlns:a16="http://schemas.microsoft.com/office/drawing/2014/main" id="{EB0BCB62-44E6-1B17-2CC1-8AEBEA69B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0</xdr:row>
      <xdr:rowOff>114300</xdr:rowOff>
    </xdr:from>
    <xdr:to>
      <xdr:col>13</xdr:col>
      <xdr:colOff>15240</xdr:colOff>
      <xdr:row>0</xdr:row>
      <xdr:rowOff>495300</xdr:rowOff>
    </xdr:to>
    <xdr:sp macro="" textlink="">
      <xdr:nvSpPr>
        <xdr:cNvPr id="4" name="Rectangle 3">
          <a:extLst>
            <a:ext uri="{FF2B5EF4-FFF2-40B4-BE49-F238E27FC236}">
              <a16:creationId xmlns:a16="http://schemas.microsoft.com/office/drawing/2014/main" id="{9CB9361C-4344-1380-F90D-AFC64D02A7AF}"/>
            </a:ext>
          </a:extLst>
        </xdr:cNvPr>
        <xdr:cNvSpPr/>
      </xdr:nvSpPr>
      <xdr:spPr>
        <a:xfrm>
          <a:off x="3451860" y="114300"/>
          <a:ext cx="5273040" cy="381000"/>
        </a:xfrm>
        <a:prstGeom prst="rect">
          <a:avLst/>
        </a:prstGeom>
        <a:solidFill>
          <a:schemeClr val="accent2">
            <a:lumMod val="60000"/>
            <a:lumOff val="40000"/>
          </a:schemeClr>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1">
                  <a:lumMod val="50000"/>
                </a:schemeClr>
              </a:solidFill>
              <a:latin typeface="Berlin Sans FB Demi" panose="020E0802020502020306" pitchFamily="34" charset="0"/>
            </a:rPr>
            <a:t>COVID - 19 Affecting Inflation Rates In India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0</xdr:row>
      <xdr:rowOff>76200</xdr:rowOff>
    </xdr:from>
    <xdr:to>
      <xdr:col>10</xdr:col>
      <xdr:colOff>7620</xdr:colOff>
      <xdr:row>2</xdr:row>
      <xdr:rowOff>129540</xdr:rowOff>
    </xdr:to>
    <xdr:sp macro="" textlink="">
      <xdr:nvSpPr>
        <xdr:cNvPr id="2" name="Rectangle 1">
          <a:extLst>
            <a:ext uri="{FF2B5EF4-FFF2-40B4-BE49-F238E27FC236}">
              <a16:creationId xmlns:a16="http://schemas.microsoft.com/office/drawing/2014/main" id="{2DC789C6-74C7-8626-1D3B-729D7D546512}"/>
            </a:ext>
          </a:extLst>
        </xdr:cNvPr>
        <xdr:cNvSpPr/>
      </xdr:nvSpPr>
      <xdr:spPr>
        <a:xfrm>
          <a:off x="4168140" y="76200"/>
          <a:ext cx="5189220" cy="419100"/>
        </a:xfrm>
        <a:prstGeom prst="rect">
          <a:avLst/>
        </a:prstGeom>
        <a:solidFill>
          <a:schemeClr val="accent2">
            <a:lumMod val="60000"/>
            <a:lumOff val="40000"/>
          </a:schemeClr>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1">
                  <a:lumMod val="50000"/>
                </a:schemeClr>
              </a:solidFill>
              <a:latin typeface="Berlin Sans FB Demi" panose="020E0802020502020306" pitchFamily="34" charset="0"/>
            </a:rPr>
            <a:t>Crude Oil Price Influencing Inflation In India</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tha Kurmapu" refreshedDate="45860.483265509261" createdVersion="8" refreshedVersion="8" minRefreshableVersion="3" recordCount="81" xr:uid="{646358DD-8133-4E71-9976-74E6CB82851A}">
  <cacheSource type="worksheet">
    <worksheetSource ref="A2:DW83" sheet="Transpose"/>
  </cacheSource>
  <cacheFields count="127">
    <cacheField name="Sector" numFmtId="0">
      <sharedItems count="3">
        <s v="Rural"/>
        <s v="Urban"/>
        <s v="Rural+Urban"/>
      </sharedItems>
    </cacheField>
    <cacheField name="Broader Cat" numFmtId="0">
      <sharedItems count="9">
        <s v="Food"/>
        <s v="Apparels"/>
        <s v="Home"/>
        <s v="Health"/>
        <s v="Transport"/>
        <s v="Recreation"/>
        <s v="Education"/>
        <s v="Misc"/>
        <s v="Does not come under any category"/>
      </sharedItems>
    </cacheField>
    <cacheField name="Category" numFmtId="0">
      <sharedItems/>
    </cacheField>
    <cacheField name="January" numFmtId="0">
      <sharedItems containsMixedTypes="1" containsNumber="1" minValue="100.3" maxValue="113"/>
    </cacheField>
    <cacheField name="February" numFmtId="0">
      <sharedItems containsMixedTypes="1" containsNumber="1" minValue="100.4" maxValue="116.9"/>
    </cacheField>
    <cacheField name="March" numFmtId="0">
      <sharedItems containsMixedTypes="1" containsNumber="1" minValue="100.4" maxValue="113.9"/>
    </cacheField>
    <cacheField name="April" numFmtId="0">
      <sharedItems containsMixedTypes="1" containsNumber="1" minValue="100.5" maxValue="114.6"/>
    </cacheField>
    <cacheField name="May" numFmtId="0">
      <sharedItems containsMixedTypes="1" containsNumber="1" minValue="100.5" maxValue="123.7"/>
    </cacheField>
    <cacheField name="June" numFmtId="0">
      <sharedItems containsMixedTypes="1" containsNumber="1" minValue="101.3" maxValue="143.6"/>
    </cacheField>
    <cacheField name="July" numFmtId="0">
      <sharedItems containsMixedTypes="1" containsNumber="1" minValue="101.1" maxValue="160.9"/>
    </cacheField>
    <cacheField name="August" numFmtId="0">
      <sharedItems containsMixedTypes="1" containsNumber="1" minValue="101" maxValue="177"/>
    </cacheField>
    <cacheField name="September" numFmtId="0">
      <sharedItems containsMixedTypes="1" containsNumber="1" minValue="100.8" maxValue="174.3"/>
    </cacheField>
    <cacheField name="October" numFmtId="0">
      <sharedItems containsMixedTypes="1" containsNumber="1" minValue="100.2" maxValue="183.5"/>
    </cacheField>
    <cacheField name="November " numFmtId="0">
      <sharedItems containsMixedTypes="1" containsNumber="1" minValue="99.5" maxValue="192.8"/>
    </cacheField>
    <cacheField name="December" numFmtId="0">
      <sharedItems containsMixedTypes="1" containsNumber="1" minValue="98.6" maxValue="145.69999999999999"/>
    </cacheField>
    <cacheField name="January2" numFmtId="0">
      <sharedItems containsMixedTypes="1" containsNumber="1" minValue="96.9" maxValue="129.9"/>
    </cacheField>
    <cacheField name="February2" numFmtId="0">
      <sharedItems containsMixedTypes="1" containsNumber="1" minValue="95.4" maxValue="124.5"/>
    </cacheField>
    <cacheField name="March2" numFmtId="0">
      <sharedItems containsMixedTypes="1" containsNumber="1" minValue="96.3" maxValue="122.1"/>
    </cacheField>
    <cacheField name="April2" numFmtId="0">
      <sharedItems containsMixedTypes="1" containsNumber="1" minValue="100.3" maxValue="126.7"/>
    </cacheField>
    <cacheField name="May2" numFmtId="0">
      <sharedItems containsMixedTypes="1" containsNumber="1" minValue="101.3" maxValue="129.19999999999999"/>
    </cacheField>
    <cacheField name="June2" numFmtId="0">
      <sharedItems containsMixedTypes="1" containsNumber="1" minValue="101.4" maxValue="137.5"/>
    </cacheField>
    <cacheField name="July2" numFmtId="0">
      <sharedItems containsMixedTypes="1" containsNumber="1" minValue="102.7" maxValue="172.4"/>
    </cacheField>
    <cacheField name="August2" numFmtId="0">
      <sharedItems containsMixedTypes="1" containsNumber="1" minValue="102.7" maxValue="181.9"/>
    </cacheField>
    <cacheField name="September2" numFmtId="0">
      <sharedItems containsMixedTypes="1" containsNumber="1" minValue="101.9" maxValue="168.6"/>
    </cacheField>
    <cacheField name="October2" numFmtId="0">
      <sharedItems containsMixedTypes="1" containsNumber="1" minValue="101.2" maxValue="159.6"/>
    </cacheField>
    <cacheField name="November" numFmtId="0">
      <sharedItems containsMixedTypes="1" containsNumber="1" minValue="99.8" maxValue="153.19999999999999"/>
    </cacheField>
    <cacheField name="December2" numFmtId="0">
      <sharedItems containsMixedTypes="1" containsNumber="1" minValue="97.8" maxValue="141"/>
    </cacheField>
    <cacheField name="January3" numFmtId="0">
      <sharedItems containsMixedTypes="1" containsNumber="1" minValue="96.1" maxValue="134.4"/>
    </cacheField>
    <cacheField name="February3" numFmtId="0">
      <sharedItems containsMixedTypes="1" containsNumber="1" minValue="95" maxValue="131.80000000000001"/>
    </cacheField>
    <cacheField name="March3" numFmtId="0">
      <sharedItems containsMixedTypes="1" containsNumber="1" minValue="93.2" maxValue="131.4"/>
    </cacheField>
    <cacheField name="April3" numFmtId="0">
      <sharedItems containsMixedTypes="1" containsNumber="1" minValue="91.6" maxValue="134.19999999999999"/>
    </cacheField>
    <cacheField name="May3" numFmtId="0">
      <sharedItems containsMixedTypes="1" containsNumber="1" minValue="90.8" maxValue="142.6"/>
    </cacheField>
    <cacheField name="June3" numFmtId="0">
      <sharedItems containsMixedTypes="1" containsNumber="1" minValue="89.8" maxValue="148.1"/>
    </cacheField>
    <cacheField name="July3" numFmtId="0">
      <sharedItems containsMixedTypes="1" containsNumber="1" minValue="85.7" maxValue="153.5"/>
    </cacheField>
    <cacheField name="August3" numFmtId="0">
      <sharedItems containsMixedTypes="1" containsNumber="1" minValue="85.3" maxValue="165.5"/>
    </cacheField>
    <cacheField name="September3" numFmtId="0">
      <sharedItems containsMixedTypes="1" containsNumber="1" minValue="86.3" maxValue="168.5"/>
    </cacheField>
    <cacheField name="October3" numFmtId="0">
      <sharedItems containsMixedTypes="1" containsNumber="1" minValue="89.4" maxValue="187.2"/>
    </cacheField>
    <cacheField name="November2" numFmtId="0">
      <sharedItems containsMixedTypes="1" containsNumber="1" minValue="90.8" maxValue="191.6"/>
    </cacheField>
    <cacheField name="December3" numFmtId="0">
      <sharedItems containsMixedTypes="1" containsNumber="1" minValue="92.7" maxValue="190.1"/>
    </cacheField>
    <cacheField name="January4" numFmtId="0">
      <sharedItems containsMixedTypes="1" containsNumber="1" minValue="96.7" maxValue="184.2"/>
    </cacheField>
    <cacheField name="February4" numFmtId="0">
      <sharedItems containsMixedTypes="1" containsNumber="1" minValue="98.7" maxValue="176.4"/>
    </cacheField>
    <cacheField name="March4" numFmtId="0">
      <sharedItems containsMixedTypes="1" containsNumber="1" minValue="100.4" maxValue="170.3"/>
    </cacheField>
    <cacheField name="April4" numFmtId="0">
      <sharedItems containsMixedTypes="1" containsNumber="1" minValue="105" maxValue="176.9"/>
    </cacheField>
    <cacheField name="May4" numFmtId="0">
      <sharedItems containsMixedTypes="1" containsNumber="1" minValue="107.5" maxValue="182.8"/>
    </cacheField>
    <cacheField name="June4" numFmtId="0">
      <sharedItems containsMixedTypes="1" containsNumber="1" minValue="108.8" maxValue="184.4"/>
    </cacheField>
    <cacheField name="July4" numFmtId="0">
      <sharedItems containsMixedTypes="1" containsNumber="1" minValue="110.3" maxValue="188.4"/>
    </cacheField>
    <cacheField name="August4" numFmtId="0">
      <sharedItems containsMixedTypes="1" containsNumber="1" minValue="110.4" maxValue="182.3"/>
    </cacheField>
    <cacheField name="September4" numFmtId="0">
      <sharedItems containsMixedTypes="1" containsNumber="1" minValue="111.8" maxValue="173.6"/>
    </cacheField>
    <cacheField name="October4" numFmtId="0">
      <sharedItems containsMixedTypes="1" containsNumber="1" minValue="112.5" maxValue="175.7"/>
    </cacheField>
    <cacheField name="November3" numFmtId="0">
      <sharedItems containsMixedTypes="1" containsNumber="1" minValue="112.6" maxValue="174.9"/>
    </cacheField>
    <cacheField name="December4" numFmtId="0">
      <sharedItems containsMixedTypes="1" containsNumber="1" minValue="113.5" maxValue="170.3"/>
    </cacheField>
    <cacheField name="January5" numFmtId="0">
      <sharedItems containsMixedTypes="1" containsNumber="1" minValue="114" maxValue="161.69999999999999"/>
    </cacheField>
    <cacheField name="February5" numFmtId="0">
      <sharedItems containsMixedTypes="1" containsNumber="1" minValue="114.3" maxValue="156.9"/>
    </cacheField>
    <cacheField name="March5" numFmtId="0">
      <sharedItems containsMixedTypes="1" containsNumber="1" minValue="114" maxValue="148"/>
    </cacheField>
    <cacheField name="April5" numFmtId="0">
      <sharedItems containsMixedTypes="1" containsNumber="1" minValue="113.5" maxValue="148"/>
    </cacheField>
    <cacheField name="May5" numFmtId="0">
      <sharedItems containsMixedTypes="1" containsNumber="1" minValue="113.4" maxValue="148.30000000000001"/>
    </cacheField>
    <cacheField name="June5" numFmtId="0">
      <sharedItems containsMixedTypes="1" containsNumber="1" minValue="113.5" maxValue="148.69999999999999"/>
    </cacheField>
    <cacheField name="July5" numFmtId="0">
      <sharedItems containsMixedTypes="1" containsNumber="1" minValue="113.2" maxValue="175.1"/>
    </cacheField>
    <cacheField name="August5" numFmtId="0">
      <sharedItems containsMixedTypes="1" containsNumber="1" minValue="114.1" maxValue="179.8"/>
    </cacheField>
    <cacheField name="September5" numFmtId="0">
      <sharedItems containsMixedTypes="1" containsNumber="1" minValue="114.5" maxValue="160.69999999999999"/>
    </cacheField>
    <cacheField name="October5" numFmtId="0">
      <sharedItems containsMixedTypes="1" containsNumber="1" minValue="114.9" maxValue="173.2"/>
    </cacheField>
    <cacheField name="November4" numFmtId="0">
      <sharedItems containsMixedTypes="1" containsNumber="1" minValue="115.2" maxValue="185.2"/>
    </cacheField>
    <cacheField name="December5" numFmtId="0">
      <sharedItems containsMixedTypes="1" containsNumber="1" minValue="115.3" maxValue="163.19999999999999"/>
    </cacheField>
    <cacheField name="January6" numFmtId="0">
      <sharedItems containsMixedTypes="1" containsNumber="1" minValue="116.3" maxValue="157.69999999999999"/>
    </cacheField>
    <cacheField name="February6" numFmtId="0">
      <sharedItems containsMixedTypes="1" containsNumber="1" minValue="115.4" maxValue="159.30000000000001"/>
    </cacheField>
    <cacheField name="March6" numFmtId="0">
      <sharedItems containsMixedTypes="1" containsNumber="1" minValue="114.2" maxValue="159.69999999999999"/>
    </cacheField>
    <cacheField name="April6" numFmtId="0">
      <sharedItems containsMixedTypes="1" containsNumber="1" minValue="110.6" maxValue="159.19999999999999"/>
    </cacheField>
    <cacheField name="May6" numFmtId="0">
      <sharedItems containsMixedTypes="1" containsNumber="1" minValue="105.3" maxValue="160.30000000000001"/>
    </cacheField>
    <cacheField name="June6" numFmtId="0">
      <sharedItems containsMixedTypes="1" containsNumber="1" minValue="108.4" maxValue="161"/>
    </cacheField>
    <cacheField name="July6" numFmtId="0">
      <sharedItems containsMixedTypes="1" containsNumber="1" minValue="111.8" maxValue="161.4"/>
    </cacheField>
    <cacheField name="August6" numFmtId="0">
      <sharedItems containsMixedTypes="1" containsNumber="1" minValue="113.3" maxValue="162.1"/>
    </cacheField>
    <cacheField name="September6" numFmtId="0">
      <sharedItems containsMixedTypes="1" containsNumber="1" minValue="112.3" maxValue="163.30000000000001"/>
    </cacheField>
    <cacheField name="October6" numFmtId="0">
      <sharedItems containsMixedTypes="1" containsNumber="1" minValue="111.9" maxValue="164"/>
    </cacheField>
    <cacheField name="November5" numFmtId="0">
      <sharedItems containsMixedTypes="1" containsNumber="1" minValue="111.6" maxValue="164.4"/>
    </cacheField>
    <cacheField name="December6" numFmtId="0">
      <sharedItems containsMixedTypes="1" containsNumber="1" minValue="109.9" maxValue="164.6"/>
    </cacheField>
    <cacheField name="January7" numFmtId="0">
      <sharedItems containsMixedTypes="1" containsNumber="1" minValue="108.4" maxValue="164.7"/>
    </cacheField>
    <cacheField name="February7" numFmtId="0">
      <sharedItems containsMixedTypes="1" containsNumber="1" minValue="108.3" maxValue="164.9"/>
    </cacheField>
    <cacheField name="March7" numFmtId="0">
      <sharedItems containsMixedTypes="1" containsNumber="1" minValue="108.3" maxValue="165.3"/>
    </cacheField>
    <cacheField name="May7" numFmtId="0">
      <sharedItems containsMixedTypes="1" containsNumber="1" minValue="109.3" maxValue="166.2"/>
    </cacheField>
    <cacheField name="June7" numFmtId="0">
      <sharedItems containsMixedTypes="1" containsNumber="1" minValue="110.6" maxValue="169.8"/>
    </cacheField>
    <cacheField name="July7" numFmtId="0">
      <sharedItems containsMixedTypes="1" containsNumber="1" minValue="110.8" maxValue="180.1"/>
    </cacheField>
    <cacheField name="August7" numFmtId="0">
      <sharedItems containsMixedTypes="1" containsNumber="1" minValue="111.7" maxValue="189.1"/>
    </cacheField>
    <cacheField name="September7" numFmtId="0">
      <sharedItems containsMixedTypes="1" containsNumber="1" minValue="112.8" maxValue="192.4"/>
    </cacheField>
    <cacheField name="October7" numFmtId="0">
      <sharedItems containsMixedTypes="1" containsNumber="1" minValue="113.6" maxValue="207.2"/>
    </cacheField>
    <cacheField name="November6" numFmtId="0">
      <sharedItems containsMixedTypes="1" containsNumber="1" minValue="113.8" maxValue="215.7"/>
    </cacheField>
    <cacheField name="December7" numFmtId="0">
      <sharedItems containsMixedTypes="1" containsNumber="1" minValue="113.6" maxValue="231.5"/>
    </cacheField>
    <cacheField name="January8" numFmtId="0">
      <sharedItems containsMixedTypes="1" containsNumber="1" minValue="113.8" maxValue="207.8"/>
    </cacheField>
    <cacheField name="February8" numFmtId="0">
      <sharedItems containsMixedTypes="1" containsNumber="1" minValue="113.1" maxValue="181.7"/>
    </cacheField>
    <cacheField name="March8" numFmtId="0">
      <sharedItems containsMixedTypes="1" containsNumber="1" minValue="112.6" maxValue="173.3"/>
    </cacheField>
    <cacheField name="April7" numFmtId="0">
      <sharedItems containsMixedTypes="1" containsNumber="1" minValue="119.8" maxValue="180"/>
    </cacheField>
    <cacheField name="May8" numFmtId="0">
      <sharedItems/>
    </cacheField>
    <cacheField name="June8" numFmtId="0">
      <sharedItems containsMixedTypes="1" containsNumber="1" minValue="113.2" maxValue="197"/>
    </cacheField>
    <cacheField name="July8" numFmtId="0">
      <sharedItems containsMixedTypes="1" containsNumber="1" minValue="113.2" maxValue="197"/>
    </cacheField>
    <cacheField name="August8" numFmtId="0">
      <sharedItems containsMixedTypes="1" containsNumber="1" minValue="114.2" maxValue="197.8"/>
    </cacheField>
    <cacheField name="September8" numFmtId="0">
      <sharedItems containsMixedTypes="1" containsNumber="1" minValue="115.1" maxValue="202"/>
    </cacheField>
    <cacheField name="October8" numFmtId="0">
      <sharedItems containsMixedTypes="1" containsNumber="1" minValue="115.3" maxValue="226"/>
    </cacheField>
    <cacheField name="November7" numFmtId="0">
      <sharedItems containsMixedTypes="1" containsNumber="1" minValue="114.9" maxValue="245.3"/>
    </cacheField>
    <cacheField name="December8" numFmtId="0">
      <sharedItems containsMixedTypes="1" containsNumber="1" minValue="114.4" maxValue="240.9"/>
    </cacheField>
    <cacheField name="January9" numFmtId="0">
      <sharedItems containsMixedTypes="1" containsNumber="1" minValue="113.8" maxValue="206.8"/>
    </cacheField>
    <cacheField name="February9" numFmtId="0">
      <sharedItems containsMixedTypes="1" containsNumber="1" minValue="111.8" maxValue="193.3"/>
    </cacheField>
    <cacheField name="March9" numFmtId="0">
      <sharedItems containsMixedTypes="1" containsNumber="1" minValue="111.7" maxValue="197.5"/>
    </cacheField>
    <cacheField name="April8" numFmtId="0">
      <sharedItems containsMixedTypes="1" containsNumber="1" minValue="112.2" maxValue="202.5"/>
    </cacheField>
    <cacheField name="May9" numFmtId="0">
      <sharedItems containsMixedTypes="1" containsNumber="1" minValue="114.3" maxValue="204.3"/>
    </cacheField>
    <cacheField name="June9" numFmtId="0">
      <sharedItems containsMixedTypes="1" containsNumber="1" minValue="114.6" maxValue="205.5"/>
    </cacheField>
    <cacheField name="July9" numFmtId="0">
      <sharedItems containsMixedTypes="1" containsNumber="1" minValue="113.9" maxValue="210.9"/>
    </cacheField>
    <cacheField name="August9" numFmtId="0">
      <sharedItems containsMixedTypes="1" containsNumber="1" minValue="115.2" maxValue="207.4"/>
    </cacheField>
    <cacheField name="September9" numFmtId="0">
      <sharedItems containsMixedTypes="1" containsNumber="1" minValue="119.3" maxValue="207.4"/>
    </cacheField>
    <cacheField name="October9" numFmtId="0">
      <sharedItems containsMixedTypes="1" containsNumber="1" minValue="121.6" maxValue="214.4"/>
    </cacheField>
    <cacheField name="November8" numFmtId="0">
      <sharedItems containsMixedTypes="1" containsNumber="1" minValue="122.1" maxValue="229.1"/>
    </cacheField>
    <cacheField name="December9" numFmtId="0">
      <sharedItems containsMixedTypes="1" containsNumber="1" minValue="120.6" maxValue="219.5"/>
    </cacheField>
    <cacheField name="January10" numFmtId="0">
      <sharedItems containsMixedTypes="1" containsNumber="1" minValue="119.3" maxValue="203.6"/>
    </cacheField>
    <cacheField name="February10" numFmtId="0">
      <sharedItems containsMixedTypes="1" containsNumber="1" minValue="118.1" maxValue="205.2"/>
    </cacheField>
    <cacheField name="March10" numFmtId="0">
      <sharedItems containsMixedTypes="1" containsNumber="1" minValue="118.1" maxValue="215.8"/>
    </cacheField>
    <cacheField name="April9" numFmtId="0">
      <sharedItems containsMixedTypes="1" containsNumber="1" minValue="118.2" maxValue="215.8"/>
    </cacheField>
    <cacheField name="May10" numFmtId="0">
      <sharedItems containsMixedTypes="1" containsNumber="1" minValue="118.9" maxValue="221.2"/>
    </cacheField>
    <cacheField name="June10" numFmtId="0">
      <sharedItems containsMixedTypes="1" containsNumber="1" minValue="119.1" maxValue="223.4"/>
    </cacheField>
    <cacheField name="July10" numFmtId="0">
      <sharedItems containsMixedTypes="1" containsNumber="1" minValue="119.2" maxValue="217.1"/>
    </cacheField>
    <cacheField name="August10" numFmtId="0">
      <sharedItems containsMixedTypes="1" containsNumber="1" minValue="120.2" maxValue="213.1"/>
    </cacheField>
    <cacheField name="September10" numFmtId="0">
      <sharedItems containsMixedTypes="1" containsNumber="1" minValue="120.8" maxValue="220.8"/>
    </cacheField>
    <cacheField name="October10" numFmtId="0">
      <sharedItems containsMixedTypes="1" containsNumber="1" minValue="121.1" maxValue="228.6"/>
    </cacheField>
    <cacheField name="November9" numFmtId="0">
      <sharedItems containsMixedTypes="1" containsNumber="1" minValue="121.5" maxValue="213.4"/>
    </cacheField>
    <cacheField name="December10" numFmtId="0">
      <sharedItems containsMixedTypes="1" containsNumber="1" minValue="121.2" maxValue="212.9"/>
    </cacheField>
    <cacheField name="January11" numFmtId="0">
      <sharedItems containsMixedTypes="1" containsNumber="1" minValue="120.3" maxValue="215.2"/>
    </cacheField>
    <cacheField name="February11" numFmtId="0">
      <sharedItems containsMixedTypes="1" containsNumber="1" minValue="119.1" maxValue="212.2"/>
    </cacheField>
    <cacheField name="March11" numFmtId="0">
      <sharedItems containsMixedTypes="1" containsNumber="1" minValue="119.1" maxValue="212.2"/>
    </cacheField>
    <cacheField name="April10" numFmtId="0">
      <sharedItems containsMixedTypes="1" containsNumber="1" minValue="120.4" maxValue="215.5"/>
    </cacheField>
    <cacheField name="May11" numFmtId="0">
      <sharedItems containsMixedTypes="1" containsNumber="1" minValue="121.9" maxValue="22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tha Kurmapu" refreshedDate="45863.454577662036" createdVersion="8" refreshedVersion="8" minRefreshableVersion="3" recordCount="372" xr:uid="{3279CA2D-9F4B-4666-AFBA-C05AE907D47F}">
  <cacheSource type="worksheet">
    <worksheetSource ref="A1:AL373" sheet="Main Data"/>
  </cacheSource>
  <cacheFields count="38">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Year - Month" numFmtId="0">
      <sharedItems count="126">
        <s v="2013 - January"/>
        <s v="2013 - February"/>
        <s v="2013 - March"/>
        <s v="2013 - April"/>
        <s v="2013 - May"/>
        <s v="2013 - June"/>
        <s v="2013 - July"/>
        <s v="2013 - August"/>
        <s v="2013 - September"/>
        <s v="2013 - October"/>
        <s v="2013 - November "/>
        <s v="2013 - November"/>
        <s v="2013 - December"/>
        <s v="2014 - January"/>
        <s v="2014 - February"/>
        <s v="2014 - March"/>
        <s v="2014 - Marcrh"/>
        <s v="2014 - April"/>
        <s v="2014 - May"/>
        <s v="2014 - June"/>
        <s v="2014 - July"/>
        <s v="2014 - August"/>
        <s v="2014 - September"/>
        <s v="2014 - October"/>
        <s v="2014 - November"/>
        <s v="2014 - December"/>
        <s v="2015 - January"/>
        <s v="2015 - February"/>
        <s v="2015 - March"/>
        <s v="2015 - April"/>
        <s v="2015 - May"/>
        <s v="2015 - June"/>
        <s v="2015 - July"/>
        <s v="2015 - August"/>
        <s v="2015 - September"/>
        <s v="2015 - October"/>
        <s v="2015 - November"/>
        <s v="2015 - December"/>
        <s v="2016 - January"/>
        <s v="2016 - February"/>
        <s v="2016 - March"/>
        <s v="2016 - April"/>
        <s v="2016 - May"/>
        <s v="2016 - June"/>
        <s v="2016 - July"/>
        <s v="2016 - August"/>
        <s v="2016 - September"/>
        <s v="2016 - October"/>
        <s v="2016 - November"/>
        <s v="2016 - December"/>
        <s v="2017 - January"/>
        <s v="2017 - February"/>
        <s v="2017 - March"/>
        <s v="2017 - April"/>
        <s v="2017 - May"/>
        <s v="2017 - June"/>
        <s v="2017 - July"/>
        <s v="2017 - August"/>
        <s v="2017 - September"/>
        <s v="2017 - October"/>
        <s v="2017 - November"/>
        <s v="2017 - December"/>
        <s v="2018 - January"/>
        <s v="2018 - February"/>
        <s v="2018 - March"/>
        <s v="2018 - April"/>
        <s v="2018 - May"/>
        <s v="2018 - June"/>
        <s v="2018 - July"/>
        <s v="2018 - August"/>
        <s v="2018 - September"/>
        <s v="2018 - October"/>
        <s v="2018 - November"/>
        <s v="2018 - December"/>
        <s v="2019 - January"/>
        <s v="2019 - February"/>
        <s v="2019 - March"/>
        <s v="2019 - May"/>
        <s v="2019 - June"/>
        <s v="2019 - July"/>
        <s v="2019 - August"/>
        <s v="2019 - September"/>
        <s v="2019 - October"/>
        <s v="2019 - November"/>
        <s v="2019 - December"/>
        <s v="2020 - January"/>
        <s v="2020 - February"/>
        <s v="2020 - March"/>
        <s v="2020 - April"/>
        <s v="2020 - May"/>
        <s v="2020 - June"/>
        <s v="2020 - July"/>
        <s v="2020 - August"/>
        <s v="2020 - September"/>
        <s v="2020 - October"/>
        <s v="2020 - November"/>
        <s v="2020 - December"/>
        <s v="2021 - January"/>
        <s v="2021 - February"/>
        <s v="2021 - March"/>
        <s v="2021 - April"/>
        <s v="2021 - May"/>
        <s v="2021 - June"/>
        <s v="2021 - July"/>
        <s v="2021 - August"/>
        <s v="2021 - September"/>
        <s v="2021 - October"/>
        <s v="2021 - November"/>
        <s v="2021 - December"/>
        <s v="2022 - January"/>
        <s v="2022 - February"/>
        <s v="2022 - March"/>
        <s v="2022 - April"/>
        <s v="2022 - May"/>
        <s v="2022 - June"/>
        <s v="2022 - July"/>
        <s v="2022 - August"/>
        <s v="2022 - September"/>
        <s v="2022 - October"/>
        <s v="2022 - November"/>
        <s v="2022 - December"/>
        <s v="2023 - January"/>
        <s v="2023 - February"/>
        <s v="2023 - March"/>
        <s v="2023 - April"/>
        <s v="2023 - May"/>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 name="Food" numFmtId="0">
      <sharedItems containsSemiMixedTypes="0" containsString="0" containsNumber="1" minValue="0" maxValue="2539.2999999999997"/>
    </cacheField>
    <cacheField name="Apparels" numFmtId="0">
      <sharedItems containsSemiMixedTypes="0" containsString="0" containsNumber="1" minValue="0" maxValue="569.90000000000009"/>
    </cacheField>
    <cacheField name="Home" numFmtId="0">
      <sharedItems containsSemiMixedTypes="0" containsString="0" containsNumber="1" minValue="0" maxValue="533.59999999999991"/>
    </cacheField>
    <cacheField name="Health Care" numFmtId="0">
      <sharedItems containsSemiMixedTypes="0" containsString="0" containsNumber="1" minValue="0" maxValue="372.70000000000005"/>
    </cacheField>
    <cacheField name="Transport" numFmtId="0">
      <sharedItems containsSemiMixedTypes="0" containsString="0" containsNumber="1" minValue="0" maxValue="169.7"/>
    </cacheField>
    <cacheField name="Recreation" numFmtId="0">
      <sharedItems containsSemiMixedTypes="0" containsString="0" containsNumber="1" minValue="0" maxValue="173.8"/>
    </cacheField>
    <cacheField name="Education Index" numFmtId="0">
      <sharedItems containsSemiMixedTypes="0" containsString="0" containsNumber="1" minValue="0" maxValue="18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x v="0"/>
    <s v="Cereals and products"/>
    <n v="107.5"/>
    <n v="109.2"/>
    <n v="110.2"/>
    <n v="110.2"/>
    <n v="110.9"/>
    <n v="112.3"/>
    <n v="113.4"/>
    <n v="114.3"/>
    <n v="115.4"/>
    <n v="116.3"/>
    <n v="117.3"/>
    <n v="118.4"/>
    <n v="118.9"/>
    <n v="119.4"/>
    <n v="120.1"/>
    <n v="120.2"/>
    <n v="120.3"/>
    <n v="120.7"/>
    <n v="121.7"/>
    <n v="121.8"/>
    <n v="122.3"/>
    <n v="122.6"/>
    <n v="122.7"/>
    <n v="122.4"/>
    <n v="123.1"/>
    <n v="123.4"/>
    <n v="123.3"/>
    <n v="123.3"/>
    <n v="123.5"/>
    <n v="124.1"/>
    <n v="124"/>
    <n v="124.7"/>
    <n v="125.1"/>
    <n v="125.6"/>
    <n v="126.1"/>
    <n v="126.3"/>
    <n v="126.8"/>
    <n v="127.1"/>
    <n v="127.3"/>
    <n v="127.4"/>
    <n v="127.6"/>
    <n v="128.6"/>
    <n v="129.30000000000001"/>
    <n v="130.1"/>
    <n v="130.80000000000001"/>
    <n v="131.30000000000001"/>
    <n v="132"/>
    <n v="132.6"/>
    <n v="133.1"/>
    <n v="133.30000000000001"/>
    <n v="133.6"/>
    <n v="133.19999999999999"/>
    <n v="133.1"/>
    <n v="133.5"/>
    <n v="134"/>
    <n v="134.80000000000001"/>
    <n v="135.19999999999999"/>
    <n v="135.9"/>
    <n v="136.30000000000001"/>
    <n v="136.4"/>
    <n v="136.6"/>
    <n v="136.4"/>
    <n v="136.80000000000001"/>
    <n v="137.1"/>
    <n v="137.4"/>
    <n v="137.6"/>
    <n v="138.4"/>
    <n v="139.19999999999999"/>
    <n v="139.4"/>
    <n v="139.30000000000001"/>
    <n v="137.1"/>
    <n v="137.1"/>
    <n v="136.6"/>
    <n v="136.80000000000001"/>
    <n v="136.9"/>
    <n v="137.4"/>
    <n v="137.80000000000001"/>
    <n v="138.4"/>
    <n v="139.19999999999999"/>
    <n v="140.1"/>
    <n v="141"/>
    <n v="141.80000000000001"/>
    <n v="142.80000000000001"/>
    <n v="143.69999999999999"/>
    <n v="144.19999999999999"/>
    <n v="144.4"/>
    <n v="147.19999999999999"/>
    <s v="NA"/>
    <n v="148.19999999999999"/>
    <n v="148.19999999999999"/>
    <n v="147.6"/>
    <n v="146.9"/>
    <n v="146"/>
    <n v="145.4"/>
    <n v="144.6"/>
    <n v="143.4"/>
    <n v="142.80000000000001"/>
    <n v="142.5"/>
    <n v="142.69999999999999"/>
    <n v="145.1"/>
    <n v="145.6"/>
    <n v="145.1"/>
    <n v="144.9"/>
    <n v="145.4"/>
    <n v="146.1"/>
    <n v="146.9"/>
    <n v="147.4"/>
    <n v="148.30000000000001"/>
    <n v="148.80000000000001"/>
    <n v="150.19999999999999"/>
    <n v="151.80000000000001"/>
    <n v="152.9"/>
    <n v="153.80000000000001"/>
    <n v="155.19999999999999"/>
    <n v="159.5"/>
    <n v="162.9"/>
    <n v="164.7"/>
    <n v="166.9"/>
    <n v="168.8"/>
    <n v="174"/>
    <n v="174.2"/>
    <n v="174.3"/>
    <n v="173.3"/>
    <n v="173.2"/>
  </r>
  <r>
    <x v="0"/>
    <x v="0"/>
    <s v="Meat and fish"/>
    <n v="106.3"/>
    <n v="108.7"/>
    <n v="108.8"/>
    <n v="109.5"/>
    <n v="109.8"/>
    <n v="112.1"/>
    <n v="114.9"/>
    <n v="115.4"/>
    <n v="115.7"/>
    <n v="115.4"/>
    <n v="114.9"/>
    <n v="115.9"/>
    <n v="117.1"/>
    <n v="117.7"/>
    <n v="118.1"/>
    <n v="118.9"/>
    <n v="120.2"/>
    <n v="121.6"/>
    <n v="122.5"/>
    <n v="122.8"/>
    <n v="122.4"/>
    <n v="122.5"/>
    <n v="122.6"/>
    <n v="122.4"/>
    <n v="123.1"/>
    <n v="124.4"/>
    <n v="124.7"/>
    <n v="125.5"/>
    <n v="127.1"/>
    <n v="130.4"/>
    <n v="131.5"/>
    <n v="131.30000000000001"/>
    <n v="131.1"/>
    <n v="130.4"/>
    <n v="130.6"/>
    <n v="131.30000000000001"/>
    <n v="133.19999999999999"/>
    <n v="133.69999999999999"/>
    <n v="134.4"/>
    <n v="135.4"/>
    <n v="137.5"/>
    <n v="138.6"/>
    <n v="139.5"/>
    <n v="138.80000000000001"/>
    <n v="138.19999999999999"/>
    <n v="137.6"/>
    <n v="137.4"/>
    <n v="137.30000000000001"/>
    <n v="137.80000000000001"/>
    <n v="138.30000000000001"/>
    <n v="138.80000000000001"/>
    <n v="138.69999999999999"/>
    <n v="140.30000000000001"/>
    <n v="143.69999999999999"/>
    <n v="144.19999999999999"/>
    <n v="143.1"/>
    <n v="142"/>
    <n v="141.9"/>
    <n v="142.5"/>
    <n v="143.69999999999999"/>
    <n v="144.4"/>
    <n v="143.69999999999999"/>
    <n v="143.80000000000001"/>
    <n v="144.5"/>
    <n v="145.69999999999999"/>
    <n v="148.1"/>
    <n v="149.30000000000001"/>
    <n v="148.80000000000001"/>
    <n v="147.19999999999999"/>
    <n v="147.6"/>
    <n v="150.80000000000001"/>
    <n v="151.9"/>
    <n v="152.5"/>
    <n v="153"/>
    <n v="154.1"/>
    <n v="159.5"/>
    <n v="163.5"/>
    <n v="164"/>
    <n v="161.9"/>
    <n v="161.9"/>
    <n v="161.6"/>
    <n v="163.69999999999999"/>
    <n v="165.3"/>
    <n v="167.3"/>
    <n v="167.5"/>
    <n v="166.8"/>
    <s v="NA"/>
    <s v="NA"/>
    <n v="190.3"/>
    <n v="190.3"/>
    <n v="187.2"/>
    <n v="183.9"/>
    <n v="186.3"/>
    <n v="188.6"/>
    <n v="188.5"/>
    <n v="187.5"/>
    <n v="184"/>
    <n v="189.4"/>
    <n v="195.5"/>
    <n v="198.5"/>
    <n v="200.1"/>
    <n v="204.5"/>
    <n v="202.3"/>
    <n v="202.1"/>
    <n v="202.5"/>
    <n v="199.8"/>
    <n v="197"/>
    <n v="196.9"/>
    <n v="198.1"/>
    <n v="208"/>
    <n v="209.7"/>
    <n v="214.7"/>
    <n v="217.2"/>
    <n v="210.8"/>
    <n v="204.1"/>
    <n v="206.7"/>
    <n v="208.8"/>
    <n v="207.2"/>
    <n v="206.9"/>
    <n v="208.3"/>
    <n v="205.2"/>
    <n v="205.2"/>
    <n v="206.9"/>
    <n v="211.5"/>
  </r>
  <r>
    <x v="0"/>
    <x v="0"/>
    <s v="Egg"/>
    <n v="108.1"/>
    <n v="110.2"/>
    <n v="109.9"/>
    <n v="106.9"/>
    <n v="105.9"/>
    <n v="108.1"/>
    <n v="110.5"/>
    <n v="111.1"/>
    <n v="111.7"/>
    <n v="112.6"/>
    <n v="116.2"/>
    <n v="120.4"/>
    <n v="120.5"/>
    <n v="121.2"/>
    <n v="120.7"/>
    <n v="118.1"/>
    <n v="116.9"/>
    <n v="116.1"/>
    <n v="117.7"/>
    <n v="117.8"/>
    <n v="117.8"/>
    <n v="118.3"/>
    <n v="119.9"/>
    <n v="121.8"/>
    <n v="122.1"/>
    <n v="122.1"/>
    <n v="118.9"/>
    <n v="117.2"/>
    <n v="117.3"/>
    <n v="122.1"/>
    <n v="122"/>
    <n v="121.3"/>
    <n v="120.7"/>
    <n v="120.8"/>
    <n v="121.7"/>
    <n v="123.3"/>
    <n v="126.5"/>
    <n v="127.7"/>
    <n v="125.1"/>
    <n v="123.4"/>
    <n v="124.4"/>
    <n v="126.6"/>
    <n v="129.6"/>
    <n v="130.30000000000001"/>
    <n v="130.5"/>
    <n v="130.1"/>
    <n v="130.6"/>
    <n v="131.6"/>
    <n v="131.9"/>
    <n v="129.30000000000001"/>
    <n v="128.80000000000001"/>
    <n v="127.1"/>
    <n v="126.8"/>
    <n v="128"/>
    <n v="129.80000000000001"/>
    <n v="130"/>
    <n v="130.5"/>
    <n v="131"/>
    <n v="140.5"/>
    <n v="144.80000000000001"/>
    <n v="143.80000000000001"/>
    <n v="140.6"/>
    <n v="140"/>
    <n v="135.9"/>
    <n v="135.5"/>
    <n v="136.69999999999999"/>
    <n v="139.30000000000001"/>
    <n v="139.1"/>
    <n v="136.6"/>
    <n v="134.6"/>
    <n v="136.69999999999999"/>
    <n v="137.4"/>
    <n v="138.19999999999999"/>
    <n v="139.1"/>
    <n v="138.69999999999999"/>
    <n v="134.5"/>
    <n v="136.19999999999999"/>
    <n v="138.4"/>
    <n v="137.1"/>
    <n v="138.30000000000001"/>
    <n v="141.19999999999999"/>
    <n v="143.80000000000001"/>
    <n v="149.5"/>
    <n v="153.5"/>
    <n v="150.9"/>
    <n v="147.6"/>
    <n v="146.9"/>
    <s v="NA"/>
    <n v="149.4"/>
    <n v="149.4"/>
    <n v="148.4"/>
    <n v="149.5"/>
    <n v="159.19999999999999"/>
    <n v="171.6"/>
    <n v="173.4"/>
    <n v="173.4"/>
    <n v="168"/>
    <n v="163.19999999999999"/>
    <n v="163.4"/>
    <n v="168.6"/>
    <n v="179.3"/>
    <n v="180.4"/>
    <n v="176.5"/>
    <n v="172"/>
    <n v="170.1"/>
    <n v="171.5"/>
    <n v="176.5"/>
    <n v="178"/>
    <n v="175.5"/>
    <n v="167.9"/>
    <n v="164.5"/>
    <n v="161.4"/>
    <n v="169.6"/>
    <n v="174.3"/>
    <n v="168.3"/>
    <n v="169"/>
    <n v="170.3"/>
    <n v="180.2"/>
    <n v="189.1"/>
    <n v="192.9"/>
    <n v="173.9"/>
    <n v="173.9"/>
    <n v="167.9"/>
    <n v="171"/>
  </r>
  <r>
    <x v="0"/>
    <x v="0"/>
    <s v="Milk and products"/>
    <n v="104.9"/>
    <n v="105.4"/>
    <n v="105.6"/>
    <n v="106.3"/>
    <n v="107.5"/>
    <n v="108.3"/>
    <n v="109.3"/>
    <n v="110"/>
    <n v="111"/>
    <n v="111.7"/>
    <n v="112.8"/>
    <n v="113.8"/>
    <n v="114.4"/>
    <n v="115"/>
    <n v="116.1"/>
    <n v="117"/>
    <n v="118"/>
    <n v="119.3"/>
    <n v="120.6"/>
    <n v="121.9"/>
    <n v="122.7"/>
    <n v="123.2"/>
    <n v="124"/>
    <n v="124.2"/>
    <n v="124.9"/>
    <n v="125.8"/>
    <n v="126"/>
    <n v="126.8"/>
    <n v="127.7"/>
    <n v="128.69999999999999"/>
    <n v="128.69999999999999"/>
    <n v="128.80000000000001"/>
    <n v="129.19999999999999"/>
    <n v="129.4"/>
    <n v="129.5"/>
    <n v="129.80000000000001"/>
    <n v="130.30000000000001"/>
    <n v="130.69999999999999"/>
    <n v="130.5"/>
    <n v="131.30000000000001"/>
    <n v="132.4"/>
    <n v="133.6"/>
    <n v="134.5"/>
    <n v="135.30000000000001"/>
    <n v="135.5"/>
    <n v="136"/>
    <n v="136.19999999999999"/>
    <n v="136.30000000000001"/>
    <n v="136.69999999999999"/>
    <n v="137.19999999999999"/>
    <n v="137.19999999999999"/>
    <n v="137.69999999999999"/>
    <n v="138.19999999999999"/>
    <n v="138.6"/>
    <n v="139"/>
    <n v="139.4"/>
    <n v="140.19999999999999"/>
    <n v="141.5"/>
    <n v="141.5"/>
    <n v="141.9"/>
    <n v="142"/>
    <n v="141.5"/>
    <n v="142"/>
    <n v="142.4"/>
    <n v="142.9"/>
    <n v="143.19999999999999"/>
    <n v="143.4"/>
    <n v="143.5"/>
    <n v="143.69999999999999"/>
    <n v="141.9"/>
    <n v="141.9"/>
    <n v="142.4"/>
    <n v="142.4"/>
    <n v="142.5"/>
    <n v="142.5"/>
    <n v="142.6"/>
    <n v="143.19999999999999"/>
    <n v="143.9"/>
    <n v="144.6"/>
    <n v="145.69999999999999"/>
    <n v="146.5"/>
    <n v="147.1"/>
    <n v="148.69999999999999"/>
    <n v="150.5"/>
    <n v="150.9"/>
    <n v="151.69999999999999"/>
    <n v="155.6"/>
    <s v="NA"/>
    <n v="153.30000000000001"/>
    <n v="153.30000000000001"/>
    <n v="153.30000000000001"/>
    <n v="153.4"/>
    <n v="153.6"/>
    <n v="153.80000000000001"/>
    <n v="154"/>
    <n v="154"/>
    <n v="154.4"/>
    <n v="154.5"/>
    <n v="155"/>
    <n v="155.80000000000001"/>
    <n v="156.1"/>
    <n v="157.1"/>
    <n v="157.5"/>
    <n v="158"/>
    <n v="158.4"/>
    <n v="159.1"/>
    <n v="159.80000000000001"/>
    <n v="160.5"/>
    <n v="160.69999999999999"/>
    <n v="162"/>
    <n v="163.80000000000001"/>
    <n v="164.6"/>
    <n v="165.4"/>
    <n v="166.3"/>
    <n v="167.9"/>
    <n v="169.5"/>
    <n v="170.9"/>
    <n v="172.3"/>
    <n v="173.4"/>
    <n v="174.3"/>
    <n v="177"/>
    <n v="177"/>
    <n v="178.2"/>
    <n v="179.6"/>
  </r>
  <r>
    <x v="0"/>
    <x v="0"/>
    <s v="Oils and fats"/>
    <n v="106.1"/>
    <n v="106.7"/>
    <n v="106.2"/>
    <n v="105.7"/>
    <n v="105.3"/>
    <n v="105.9"/>
    <n v="106.2"/>
    <n v="106.4"/>
    <n v="107.4"/>
    <n v="107.7"/>
    <n v="108.9"/>
    <n v="109.5"/>
    <n v="109"/>
    <n v="109"/>
    <n v="109.3"/>
    <n v="109.7"/>
    <n v="110.1"/>
    <n v="110.3"/>
    <n v="110.4"/>
    <n v="110.6"/>
    <n v="110.4"/>
    <n v="110.5"/>
    <n v="110.5"/>
    <n v="110.2"/>
    <n v="111"/>
    <n v="111.5"/>
    <n v="111.8"/>
    <n v="111.9"/>
    <n v="112.5"/>
    <n v="114.1"/>
    <n v="113.5"/>
    <n v="114"/>
    <n v="114.7"/>
    <n v="115.8"/>
    <n v="117.8"/>
    <n v="118.3"/>
    <n v="118.9"/>
    <n v="118.5"/>
    <n v="118.3"/>
    <n v="118.2"/>
    <n v="118.2"/>
    <n v="118.6"/>
    <n v="119.5"/>
    <n v="119.9"/>
    <n v="120.2"/>
    <n v="120.8"/>
    <n v="121.1"/>
    <n v="121.6"/>
    <n v="122"/>
    <n v="122.1"/>
    <n v="121.6"/>
    <n v="121.3"/>
    <n v="120.8"/>
    <n v="120.9"/>
    <n v="120.9"/>
    <n v="120.5"/>
    <n v="120.7"/>
    <n v="121.4"/>
    <n v="121.6"/>
    <n v="123.1"/>
    <n v="123.2"/>
    <n v="122.9"/>
    <n v="123.2"/>
    <n v="123.5"/>
    <n v="123.6"/>
    <n v="124"/>
    <n v="124.1"/>
    <n v="125"/>
    <n v="124.6"/>
    <n v="123.5"/>
    <n v="122.8"/>
    <n v="124.2"/>
    <n v="123.9"/>
    <n v="124.1"/>
    <n v="124.1"/>
    <n v="124"/>
    <n v="124.3"/>
    <n v="124.4"/>
    <n v="124.7"/>
    <n v="125.1"/>
    <n v="125.6"/>
    <n v="126"/>
    <n v="127.5"/>
    <n v="132"/>
    <n v="133.69999999999999"/>
    <n v="133.30000000000001"/>
    <n v="137.1"/>
    <s v="NA"/>
    <n v="138.19999999999999"/>
    <n v="138.19999999999999"/>
    <n v="139.80000000000001"/>
    <n v="140.4"/>
    <n v="142.6"/>
    <n v="145.4"/>
    <n v="150"/>
    <n v="154.80000000000001"/>
    <n v="163"/>
    <n v="168.2"/>
    <n v="175.2"/>
    <n v="184.4"/>
    <n v="190.4"/>
    <n v="188.7"/>
    <n v="190.9"/>
    <n v="195.5"/>
    <n v="198.8"/>
    <n v="198.4"/>
    <n v="195.8"/>
    <n v="192.6"/>
    <n v="192.6"/>
    <n v="203.1"/>
    <n v="207.4"/>
    <n v="209.9"/>
    <n v="208.1"/>
    <n v="202.2"/>
    <n v="198.1"/>
    <n v="194.1"/>
    <n v="191.6"/>
    <n v="194"/>
    <n v="193.9"/>
    <n v="192.6"/>
    <n v="183.4"/>
    <n v="183.3"/>
    <n v="178.5"/>
    <n v="173.3"/>
  </r>
  <r>
    <x v="0"/>
    <x v="0"/>
    <s v="Fruits"/>
    <n v="103.9"/>
    <n v="104"/>
    <n v="105.7"/>
    <n v="108.3"/>
    <n v="108.1"/>
    <n v="109.2"/>
    <n v="110.3"/>
    <n v="110.8"/>
    <n v="110.9"/>
    <n v="113.2"/>
    <n v="116.6"/>
    <n v="115.5"/>
    <n v="115.5"/>
    <n v="116.6"/>
    <n v="119.6"/>
    <n v="125.5"/>
    <n v="126.3"/>
    <n v="125.8"/>
    <n v="129.1"/>
    <n v="129.69999999999999"/>
    <n v="129.80000000000001"/>
    <n v="128.9"/>
    <n v="128.80000000000001"/>
    <n v="128.6"/>
    <n v="130.4"/>
    <n v="129.4"/>
    <n v="130.9"/>
    <n v="134.19999999999999"/>
    <n v="134.1"/>
    <n v="133.19999999999999"/>
    <n v="133.30000000000001"/>
    <n v="134.19999999999999"/>
    <n v="132.30000000000001"/>
    <n v="133.19999999999999"/>
    <n v="132.1"/>
    <n v="131.6"/>
    <n v="131.6"/>
    <n v="130.4"/>
    <n v="131.69999999999999"/>
    <n v="138.1"/>
    <n v="138.1"/>
    <n v="137.4"/>
    <n v="138.5"/>
    <n v="140.19999999999999"/>
    <n v="139.19999999999999"/>
    <n v="138.4"/>
    <n v="136.9"/>
    <n v="135.6"/>
    <n v="136"/>
    <n v="138.69999999999999"/>
    <n v="139.69999999999999"/>
    <n v="141.80000000000001"/>
    <n v="140.19999999999999"/>
    <n v="140.9"/>
    <n v="143.9"/>
    <n v="148"/>
    <n v="147.80000000000001"/>
    <n v="146.69999999999999"/>
    <n v="147.30000000000001"/>
    <n v="147.19999999999999"/>
    <n v="147.9"/>
    <n v="149.4"/>
    <n v="152.9"/>
    <n v="156.4"/>
    <n v="157.5"/>
    <n v="154.1"/>
    <n v="153.30000000000001"/>
    <n v="154.4"/>
    <n v="150.1"/>
    <n v="144.5"/>
    <n v="143.9"/>
    <n v="140.19999999999999"/>
    <n v="135.5"/>
    <n v="135.80000000000001"/>
    <n v="136.1"/>
    <n v="143.69999999999999"/>
    <n v="143.30000000000001"/>
    <n v="146.4"/>
    <n v="145.5"/>
    <n v="143.80000000000001"/>
    <n v="145.69999999999999"/>
    <n v="146.19999999999999"/>
    <n v="144.30000000000001"/>
    <n v="142.19999999999999"/>
    <n v="140.69999999999999"/>
    <n v="141.80000000000001"/>
    <n v="147.30000000000001"/>
    <s v="NA"/>
    <n v="143.19999999999999"/>
    <n v="143.19999999999999"/>
    <n v="146.9"/>
    <n v="147"/>
    <n v="147.19999999999999"/>
    <n v="146.5"/>
    <n v="145.9"/>
    <n v="147"/>
    <n v="147.80000000000001"/>
    <n v="150.5"/>
    <n v="160.6"/>
    <n v="162.30000000000001"/>
    <n v="158.6"/>
    <n v="157.69999999999999"/>
    <n v="155.69999999999999"/>
    <n v="152.69999999999999"/>
    <n v="152.6"/>
    <n v="153.19999999999999"/>
    <n v="152"/>
    <n v="151.19999999999999"/>
    <n v="151.4"/>
    <n v="155.9"/>
    <n v="169.7"/>
    <n v="168"/>
    <n v="165.8"/>
    <n v="169.6"/>
    <n v="169.2"/>
    <n v="164.1"/>
    <n v="162.19999999999999"/>
    <n v="159.1"/>
    <n v="156.69999999999999"/>
    <n v="156.30000000000001"/>
    <n v="167.2"/>
    <n v="167.2"/>
    <n v="173.7"/>
    <n v="169"/>
  </r>
  <r>
    <x v="0"/>
    <x v="0"/>
    <s v="Vegetables"/>
    <n v="101.9"/>
    <n v="102.4"/>
    <n v="101.4"/>
    <n v="103.4"/>
    <n v="107.3"/>
    <n v="118"/>
    <n v="129.19999999999999"/>
    <n v="138.9"/>
    <n v="154"/>
    <n v="164.9"/>
    <n v="178.1"/>
    <n v="145.69999999999999"/>
    <n v="123.9"/>
    <n v="116"/>
    <n v="117.9"/>
    <n v="120.5"/>
    <n v="123.9"/>
    <n v="129.30000000000001"/>
    <n v="150.1"/>
    <n v="161.1"/>
    <n v="158.80000000000001"/>
    <n v="155.30000000000001"/>
    <n v="152"/>
    <n v="140.30000000000001"/>
    <n v="132.30000000000001"/>
    <n v="128.19999999999999"/>
    <n v="128"/>
    <n v="127.5"/>
    <n v="128.5"/>
    <n v="135.19999999999999"/>
    <n v="140.80000000000001"/>
    <n v="153.6"/>
    <n v="158.9"/>
    <n v="157.69999999999999"/>
    <n v="155.19999999999999"/>
    <n v="145.5"/>
    <n v="140.1"/>
    <n v="130.9"/>
    <n v="130.69999999999999"/>
    <n v="134.1"/>
    <n v="141.80000000000001"/>
    <n v="152.5"/>
    <n v="158.19999999999999"/>
    <n v="156.9"/>
    <n v="149.5"/>
    <n v="149.19999999999999"/>
    <n v="141.80000000000001"/>
    <n v="127.5"/>
    <n v="119.8"/>
    <n v="119.1"/>
    <n v="119.7"/>
    <n v="121.5"/>
    <n v="123.8"/>
    <n v="128.80000000000001"/>
    <n v="151.5"/>
    <n v="162.9"/>
    <n v="154.5"/>
    <n v="157.1"/>
    <n v="168"/>
    <n v="161"/>
    <n v="152.1"/>
    <n v="142.4"/>
    <n v="138"/>
    <n v="135.1"/>
    <n v="137.80000000000001"/>
    <n v="143.5"/>
    <n v="154.19999999999999"/>
    <n v="156.30000000000001"/>
    <n v="149.4"/>
    <n v="147.6"/>
    <n v="147.5"/>
    <n v="136.6"/>
    <n v="131.69999999999999"/>
    <n v="128.69999999999999"/>
    <n v="128.19999999999999"/>
    <n v="133.4"/>
    <n v="140.6"/>
    <n v="150.1"/>
    <n v="156.19999999999999"/>
    <n v="163.4"/>
    <n v="178.8"/>
    <n v="191.4"/>
    <n v="209.5"/>
    <n v="191.5"/>
    <n v="165.1"/>
    <n v="152.30000000000001"/>
    <n v="162.69999999999999"/>
    <s v="NA"/>
    <n v="148.9"/>
    <n v="148.9"/>
    <n v="171"/>
    <n v="178.8"/>
    <n v="200.6"/>
    <n v="222.2"/>
    <n v="225.2"/>
    <n v="187.8"/>
    <n v="149.69999999999999"/>
    <n v="141"/>
    <n v="135.1"/>
    <n v="138.4"/>
    <n v="144.69999999999999"/>
    <n v="152.80000000000001"/>
    <n v="153.9"/>
    <n v="151.4"/>
    <n v="170.4"/>
    <n v="183.9"/>
    <n v="172.3"/>
    <n v="159.19999999999999"/>
    <n v="155.19999999999999"/>
    <n v="155.80000000000001"/>
    <n v="153.6"/>
    <n v="160.4"/>
    <n v="167.3"/>
    <n v="168.6"/>
    <n v="173.1"/>
    <n v="176.9"/>
    <n v="184.8"/>
    <n v="171.6"/>
    <n v="150.19999999999999"/>
    <n v="142.9"/>
    <n v="140.9"/>
    <n v="140.9"/>
    <n v="142.80000000000001"/>
    <n v="148.69999999999999"/>
  </r>
  <r>
    <x v="0"/>
    <x v="0"/>
    <s v="Pulses and products"/>
    <n v="106.1"/>
    <n v="105.9"/>
    <n v="105.7"/>
    <n v="105.7"/>
    <n v="106.1"/>
    <n v="106.8"/>
    <n v="107.1"/>
    <n v="107.4"/>
    <n v="108.1"/>
    <n v="108.3"/>
    <n v="109.1"/>
    <n v="109.5"/>
    <n v="109.6"/>
    <n v="109.8"/>
    <n v="110.2"/>
    <n v="111"/>
    <n v="111.5"/>
    <n v="112.2"/>
    <n v="113.2"/>
    <n v="114.1"/>
    <n v="115"/>
    <n v="115.5"/>
    <n v="116.2"/>
    <n v="116.3"/>
    <n v="117.2"/>
    <n v="118.8"/>
    <n v="119.9"/>
    <n v="121.5"/>
    <n v="124.3"/>
    <n v="131.9"/>
    <n v="133.80000000000001"/>
    <n v="137.9"/>
    <n v="142.1"/>
    <n v="154.19999999999999"/>
    <n v="160.80000000000001"/>
    <n v="162.1"/>
    <n v="163.80000000000001"/>
    <n v="162.80000000000001"/>
    <n v="161.19999999999999"/>
    <n v="162.69999999999999"/>
    <n v="166"/>
    <n v="169.2"/>
    <n v="171.8"/>
    <n v="172.2"/>
    <n v="170.4"/>
    <n v="170.2"/>
    <n v="170"/>
    <n v="167.9"/>
    <n v="161.69999999999999"/>
    <n v="156.9"/>
    <n v="148"/>
    <n v="144.5"/>
    <n v="141.80000000000001"/>
    <n v="140.19999999999999"/>
    <n v="138.1"/>
    <n v="137.4"/>
    <n v="137.1"/>
    <n v="136.4"/>
    <n v="135.80000000000001"/>
    <n v="133.80000000000001"/>
    <n v="131.80000000000001"/>
    <n v="130.19999999999999"/>
    <n v="129.30000000000001"/>
    <n v="128.4"/>
    <n v="127.2"/>
    <n v="126"/>
    <n v="126.4"/>
    <n v="126.8"/>
    <n v="125.4"/>
    <n v="121.4"/>
    <n v="121"/>
    <n v="120.9"/>
    <n v="121.3"/>
    <n v="121.5"/>
    <n v="122.3"/>
    <n v="125.1"/>
    <n v="128.69999999999999"/>
    <n v="130.6"/>
    <n v="131.5"/>
    <n v="132.19999999999999"/>
    <n v="133.1"/>
    <n v="136.19999999999999"/>
    <n v="138.80000000000001"/>
    <n v="141.1"/>
    <n v="141.80000000000001"/>
    <n v="141.80000000000001"/>
    <n v="150.19999999999999"/>
    <s v="NA"/>
    <n v="150.30000000000001"/>
    <n v="150.30000000000001"/>
    <n v="149.9"/>
    <n v="149.30000000000001"/>
    <n v="150.30000000000001"/>
    <n v="155.9"/>
    <n v="159.5"/>
    <n v="159.5"/>
    <n v="158.30000000000001"/>
    <n v="159.19999999999999"/>
    <n v="161.1"/>
    <n v="165.1"/>
    <n v="165.5"/>
    <n v="163.6"/>
    <n v="162.80000000000001"/>
    <n v="163.9"/>
    <n v="165.2"/>
    <n v="165.4"/>
    <n v="164.5"/>
    <n v="164"/>
    <n v="163.9"/>
    <n v="164.2"/>
    <n v="165.1"/>
    <n v="165"/>
    <n v="164.6"/>
    <n v="164.4"/>
    <n v="167.1"/>
    <n v="169"/>
    <n v="169.7"/>
    <n v="170.2"/>
    <n v="170.5"/>
    <n v="170.7"/>
    <n v="170.4"/>
    <n v="170.5"/>
    <n v="172.8"/>
    <n v="174.9"/>
  </r>
  <r>
    <x v="0"/>
    <x v="0"/>
    <s v="Sugar and Confectionery"/>
    <n v="106.8"/>
    <n v="105.7"/>
    <n v="105"/>
    <n v="104.2"/>
    <n v="103.7"/>
    <n v="104.1"/>
    <n v="104.3"/>
    <n v="104.1"/>
    <n v="104.2"/>
    <n v="103.9"/>
    <n v="103.6"/>
    <n v="102.9"/>
    <n v="101.8"/>
    <n v="101.1"/>
    <n v="101.2"/>
    <n v="102.6"/>
    <n v="103.5"/>
    <n v="103.6"/>
    <n v="104.8"/>
    <n v="105.1"/>
    <n v="104.7"/>
    <n v="104"/>
    <n v="103.3"/>
    <n v="102"/>
    <n v="100.5"/>
    <n v="100"/>
    <n v="98.9"/>
    <n v="97.8"/>
    <n v="97.6"/>
    <n v="96.3"/>
    <n v="94.1"/>
    <n v="93.1"/>
    <n v="92.5"/>
    <n v="93.7"/>
    <n v="94.5"/>
    <n v="95.4"/>
    <n v="97.7"/>
    <n v="98.7"/>
    <n v="100.4"/>
    <n v="105"/>
    <n v="107.5"/>
    <n v="108.8"/>
    <n v="110.3"/>
    <n v="112.1"/>
    <n v="113.1"/>
    <n v="113.4"/>
    <n v="113.4"/>
    <n v="113.8"/>
    <n v="114.8"/>
    <n v="116.2"/>
    <n v="116.9"/>
    <n v="117.4"/>
    <n v="118.6"/>
    <n v="118.9"/>
    <n v="120"/>
    <n v="120.8"/>
    <n v="121"/>
    <n v="121.4"/>
    <n v="122.5"/>
    <n v="121.9"/>
    <n v="119.5"/>
    <n v="117.9"/>
    <n v="117.1"/>
    <n v="115.2"/>
    <n v="111.8"/>
    <n v="112.4"/>
    <n v="114.3"/>
    <n v="115.4"/>
    <n v="114.4"/>
    <n v="112.3"/>
    <n v="111.6"/>
    <n v="109.9"/>
    <n v="108.4"/>
    <n v="108.3"/>
    <n v="108.3"/>
    <n v="109.3"/>
    <n v="110.6"/>
    <n v="110.8"/>
    <n v="111.7"/>
    <n v="112.8"/>
    <n v="113.6"/>
    <n v="113.8"/>
    <n v="113.6"/>
    <n v="113.8"/>
    <n v="113.1"/>
    <n v="112.6"/>
    <n v="119.8"/>
    <s v="NA"/>
    <n v="113.2"/>
    <n v="113.2"/>
    <n v="114.2"/>
    <n v="115.1"/>
    <n v="115.3"/>
    <n v="114.9"/>
    <n v="114.4"/>
    <n v="113.8"/>
    <n v="111.8"/>
    <n v="111.7"/>
    <n v="112.2"/>
    <n v="114.3"/>
    <n v="114.6"/>
    <n v="113.9"/>
    <n v="115.2"/>
    <n v="119.3"/>
    <n v="121.6"/>
    <n v="122.1"/>
    <n v="120.6"/>
    <n v="119.3"/>
    <n v="118.1"/>
    <n v="118.1"/>
    <n v="118.2"/>
    <n v="118.9"/>
    <n v="119.1"/>
    <n v="119.2"/>
    <n v="120.2"/>
    <n v="120.8"/>
    <n v="121.1"/>
    <n v="121.5"/>
    <n v="121.2"/>
    <n v="120.3"/>
    <n v="119.1"/>
    <n v="119.1"/>
    <n v="120.4"/>
    <n v="121.9"/>
  </r>
  <r>
    <x v="0"/>
    <x v="0"/>
    <s v="Spices"/>
    <n v="103.1"/>
    <n v="103.1"/>
    <n v="103.3"/>
    <n v="103.2"/>
    <n v="104"/>
    <n v="105.4"/>
    <n v="106.4"/>
    <n v="106.9"/>
    <n v="107.9"/>
    <n v="108.2"/>
    <n v="109"/>
    <n v="109.8"/>
    <n v="110.2"/>
    <n v="110.4"/>
    <n v="110.7"/>
    <n v="111.2"/>
    <n v="111.6"/>
    <n v="112.3"/>
    <n v="113.3"/>
    <n v="114.6"/>
    <n v="114.9"/>
    <n v="115.3"/>
    <n v="115.8"/>
    <n v="116"/>
    <n v="117.2"/>
    <n v="118.6"/>
    <n v="119.4"/>
    <n v="119.8"/>
    <n v="120.7"/>
    <n v="123"/>
    <n v="123.4"/>
    <n v="123.9"/>
    <n v="125.4"/>
    <n v="126.6"/>
    <n v="128.30000000000001"/>
    <n v="128.9"/>
    <n v="129.6"/>
    <n v="130.6"/>
    <n v="130.80000000000001"/>
    <n v="131.4"/>
    <n v="132.19999999999999"/>
    <n v="133.1"/>
    <n v="134.30000000000001"/>
    <n v="134.9"/>
    <n v="135.80000000000001"/>
    <n v="136.30000000000001"/>
    <n v="136.80000000000001"/>
    <n v="137.5"/>
    <n v="136.9"/>
    <n v="136"/>
    <n v="135.6"/>
    <n v="134.1"/>
    <n v="134"/>
    <n v="133.5"/>
    <n v="133.9"/>
    <n v="134.69999999999999"/>
    <n v="134.69999999999999"/>
    <n v="135.6"/>
    <n v="136"/>
    <n v="135.80000000000001"/>
    <n v="136"/>
    <n v="135.6"/>
    <n v="136.30000000000001"/>
    <n v="137.19999999999999"/>
    <n v="137.4"/>
    <n v="137.6"/>
    <n v="138.19999999999999"/>
    <n v="138.6"/>
    <n v="138.69999999999999"/>
    <n v="139.5"/>
    <n v="140.6"/>
    <n v="140.19999999999999"/>
    <n v="138.9"/>
    <n v="139.19999999999999"/>
    <n v="138.9"/>
    <n v="139.30000000000001"/>
    <n v="140.4"/>
    <n v="141.69999999999999"/>
    <n v="142.69999999999999"/>
    <n v="144.19999999999999"/>
    <n v="145.5"/>
    <n v="147.30000000000001"/>
    <n v="149.1"/>
    <n v="151.6"/>
    <n v="152.80000000000001"/>
    <n v="154"/>
    <n v="158.69999999999999"/>
    <s v="NA"/>
    <n v="159.80000000000001"/>
    <n v="159.80000000000001"/>
    <n v="160"/>
    <n v="160"/>
    <n v="160.9"/>
    <n v="162"/>
    <n v="163.5"/>
    <n v="164.5"/>
    <n v="165"/>
    <n v="164"/>
    <n v="164.4"/>
    <n v="169.7"/>
    <n v="170"/>
    <n v="169.7"/>
    <n v="169.8"/>
    <n v="170.1"/>
    <n v="170.6"/>
    <n v="170.8"/>
    <n v="171.7"/>
    <n v="173.3"/>
    <n v="175.4"/>
    <n v="178.7"/>
    <n v="182.9"/>
    <n v="186.6"/>
    <n v="188.9"/>
    <n v="191.8"/>
    <n v="195.6"/>
    <n v="199.1"/>
    <n v="201.6"/>
    <n v="204.8"/>
    <n v="207.5"/>
    <n v="210.5"/>
    <n v="212.1"/>
    <n v="212.1"/>
    <n v="215.5"/>
    <n v="221"/>
  </r>
  <r>
    <x v="0"/>
    <x v="0"/>
    <s v="Non-alcoholic beverages"/>
    <n v="104.8"/>
    <n v="105.1"/>
    <n v="105.6"/>
    <n v="106.5"/>
    <n v="107.4"/>
    <n v="108.2"/>
    <n v="109.1"/>
    <n v="109.7"/>
    <n v="110.4"/>
    <n v="111.1"/>
    <n v="111.8"/>
    <n v="112.1"/>
    <n v="112.4"/>
    <n v="112.9"/>
    <n v="113"/>
    <n v="113.5"/>
    <n v="114.2"/>
    <n v="114.9"/>
    <n v="115.6"/>
    <n v="115.8"/>
    <n v="116.5"/>
    <n v="116.8"/>
    <n v="116.8"/>
    <n v="117.3"/>
    <n v="117.9"/>
    <n v="118.8"/>
    <n v="118.9"/>
    <n v="119.4"/>
    <n v="120.2"/>
    <n v="121.1"/>
    <n v="121"/>
    <n v="121.5"/>
    <n v="121.9"/>
    <n v="122.3"/>
    <n v="123.1"/>
    <n v="123.3"/>
    <n v="124.3"/>
    <n v="124.8"/>
    <n v="124.9"/>
    <n v="125.4"/>
    <n v="126.1"/>
    <n v="126.4"/>
    <n v="127.3"/>
    <n v="128.1"/>
    <n v="128.80000000000001"/>
    <n v="128.69999999999999"/>
    <n v="128.69999999999999"/>
    <n v="129.1"/>
    <n v="129"/>
    <n v="129.4"/>
    <n v="129.80000000000001"/>
    <n v="130"/>
    <n v="130.30000000000001"/>
    <n v="130.4"/>
    <n v="131.4"/>
    <n v="131.6"/>
    <n v="131.69999999999999"/>
    <n v="131.30000000000001"/>
    <n v="131.9"/>
    <n v="131.1"/>
    <n v="131.19999999999999"/>
    <n v="130.5"/>
    <n v="131.19999999999999"/>
    <n v="131.9"/>
    <n v="132.19999999999999"/>
    <n v="132.80000000000001"/>
    <n v="132.80000000000001"/>
    <n v="133.80000000000001"/>
    <n v="133.1"/>
    <n v="134.6"/>
    <n v="137.5"/>
    <n v="137.80000000000001"/>
    <n v="137"/>
    <n v="137.4"/>
    <n v="137.4"/>
    <n v="137.69999999999999"/>
    <n v="138"/>
    <n v="138.5"/>
    <n v="138.5"/>
    <n v="138.5"/>
    <n v="138.6"/>
    <n v="138.69999999999999"/>
    <n v="139.30000000000001"/>
    <n v="139.69999999999999"/>
    <n v="140.1"/>
    <n v="140.1"/>
    <n v="139.19999999999999"/>
    <s v="NA"/>
    <n v="142.1"/>
    <n v="142.1"/>
    <n v="143.5"/>
    <n v="145.4"/>
    <n v="147.4"/>
    <n v="150"/>
    <n v="153.4"/>
    <n v="156.1"/>
    <n v="160"/>
    <n v="160.6"/>
    <n v="161.9"/>
    <n v="164.6"/>
    <n v="165.5"/>
    <n v="166.2"/>
    <n v="167.6"/>
    <n v="168.3"/>
    <n v="168.8"/>
    <n v="169.1"/>
    <n v="169.7"/>
    <n v="169.8"/>
    <n v="170.5"/>
    <n v="171.2"/>
    <n v="172.4"/>
    <n v="173.2"/>
    <n v="174.2"/>
    <n v="174.5"/>
    <n v="174.8"/>
    <n v="175.4"/>
    <n v="175.8"/>
    <n v="176.4"/>
    <n v="176.8"/>
    <n v="176.9"/>
    <n v="177.6"/>
    <n v="177.6"/>
    <n v="178.2"/>
    <n v="178.7"/>
  </r>
  <r>
    <x v="0"/>
    <x v="0"/>
    <s v="Prepared meals, snacks, sweets etc."/>
    <n v="106.7"/>
    <n v="107.7"/>
    <n v="108.2"/>
    <n v="108.8"/>
    <n v="109.9"/>
    <n v="111"/>
    <n v="112.1"/>
    <n v="112.6"/>
    <n v="114"/>
    <n v="114.9"/>
    <n v="116"/>
    <n v="116.8"/>
    <n v="117.3"/>
    <n v="117.8"/>
    <n v="118.3"/>
    <n v="118.7"/>
    <n v="119.2"/>
    <n v="120.1"/>
    <n v="120.9"/>
    <n v="121.7"/>
    <n v="122.6"/>
    <n v="123.2"/>
    <n v="124.5"/>
    <n v="124.8"/>
    <n v="125.6"/>
    <n v="126.8"/>
    <n v="127.7"/>
    <n v="128.69999999999999"/>
    <n v="129.80000000000001"/>
    <n v="131.19999999999999"/>
    <n v="131.69999999999999"/>
    <n v="132.5"/>
    <n v="132.69999999999999"/>
    <n v="133.1"/>
    <n v="134.19999999999999"/>
    <n v="135.1"/>
    <n v="135.9"/>
    <n v="136.4"/>
    <n v="137"/>
    <n v="137.4"/>
    <n v="138.30000000000001"/>
    <n v="139.19999999999999"/>
    <n v="139.9"/>
    <n v="140.69999999999999"/>
    <n v="141.5"/>
    <n v="142.4"/>
    <n v="143.1"/>
    <n v="143.6"/>
    <n v="143.9"/>
    <n v="144.4"/>
    <n v="145.4"/>
    <n v="145.5"/>
    <n v="145.80000000000001"/>
    <n v="146.5"/>
    <n v="147.69999999999999"/>
    <n v="148.69999999999999"/>
    <n v="149.30000000000001"/>
    <n v="150.30000000000001"/>
    <n v="151.4"/>
    <n v="151.4"/>
    <n v="151.80000000000001"/>
    <n v="151.69999999999999"/>
    <n v="152.80000000000001"/>
    <n v="153.80000000000001"/>
    <n v="154.30000000000001"/>
    <n v="154.30000000000001"/>
    <n v="154.80000000000001"/>
    <n v="155.19999999999999"/>
    <n v="155.9"/>
    <n v="155.19999999999999"/>
    <n v="156.1"/>
    <n v="156"/>
    <n v="155.80000000000001"/>
    <n v="156.19999999999999"/>
    <n v="156.4"/>
    <n v="156.4"/>
    <n v="156.6"/>
    <n v="156.69999999999999"/>
    <n v="156.9"/>
    <n v="157.19999999999999"/>
    <n v="157.4"/>
    <n v="157.69999999999999"/>
    <n v="158.30000000000001"/>
    <n v="158.69999999999999"/>
    <n v="159.19999999999999"/>
    <n v="160"/>
    <s v="NA"/>
    <s v="NA"/>
    <n v="161.80000000000001"/>
    <n v="161.80000000000001"/>
    <n v="161.5"/>
    <n v="161.6"/>
    <n v="161.9"/>
    <n v="162.69999999999999"/>
    <n v="163.6"/>
    <n v="164.3"/>
    <n v="165.8"/>
    <n v="166.4"/>
    <n v="166.8"/>
    <n v="169.8"/>
    <n v="171.7"/>
    <n v="171"/>
    <n v="171.9"/>
    <n v="172.8"/>
    <n v="173.6"/>
    <n v="174.3"/>
    <n v="175.1"/>
    <n v="175.8"/>
    <n v="176.3"/>
    <n v="177.4"/>
    <n v="178.9"/>
    <n v="180.4"/>
    <n v="181.9"/>
    <n v="183.1"/>
    <n v="184"/>
    <n v="184.8"/>
    <n v="185.6"/>
    <n v="186.9"/>
    <n v="187.7"/>
    <n v="188.5"/>
    <n v="189.9"/>
    <n v="189.9"/>
    <n v="190.5"/>
    <n v="191.1"/>
  </r>
  <r>
    <x v="0"/>
    <x v="0"/>
    <s v="Food and beverages"/>
    <n v="105.5"/>
    <n v="106.3"/>
    <n v="106.6"/>
    <n v="107.1"/>
    <n v="108.1"/>
    <n v="110.6"/>
    <n v="113.1"/>
    <n v="114.9"/>
    <n v="117.8"/>
    <n v="119.8"/>
    <n v="122.5"/>
    <n v="118.7"/>
    <n v="116"/>
    <n v="115.3"/>
    <n v="116.2"/>
    <n v="117.2"/>
    <n v="118.2"/>
    <n v="119.5"/>
    <n v="123.3"/>
    <n v="125.3"/>
    <n v="125.3"/>
    <n v="125.1"/>
    <n v="124.9"/>
    <n v="123.3"/>
    <n v="122.8"/>
    <n v="122.8"/>
    <n v="123.1"/>
    <n v="123.6"/>
    <n v="124.4"/>
    <n v="126.6"/>
    <n v="127.5"/>
    <n v="129.80000000000001"/>
    <n v="131"/>
    <n v="131.80000000000001"/>
    <n v="132.4"/>
    <n v="131.4"/>
    <n v="131.4"/>
    <n v="130.30000000000001"/>
    <n v="130.4"/>
    <n v="131.80000000000001"/>
    <n v="133.6"/>
    <n v="136"/>
    <n v="137.6"/>
    <n v="138"/>
    <n v="137.19999999999999"/>
    <n v="137.4"/>
    <n v="136.6"/>
    <n v="134.69999999999999"/>
    <n v="133.69999999999999"/>
    <n v="133.6"/>
    <n v="133.4"/>
    <n v="133.5"/>
    <n v="133.80000000000001"/>
    <n v="134.9"/>
    <n v="138.5"/>
    <n v="140.6"/>
    <n v="139.6"/>
    <n v="140.4"/>
    <n v="142.4"/>
    <n v="141.5"/>
    <n v="140.4"/>
    <n v="138.69999999999999"/>
    <n v="138.6"/>
    <n v="138.6"/>
    <n v="139.1"/>
    <n v="140"/>
    <n v="142"/>
    <n v="142.69999999999999"/>
    <n v="141.30000000000001"/>
    <n v="140.19999999999999"/>
    <n v="140"/>
    <n v="138.5"/>
    <n v="137.4"/>
    <n v="137.19999999999999"/>
    <n v="137.30000000000001"/>
    <n v="139.19999999999999"/>
    <n v="141"/>
    <n v="143"/>
    <n v="144"/>
    <n v="145.5"/>
    <n v="148.30000000000001"/>
    <n v="150.9"/>
    <n v="154.30000000000001"/>
    <n v="153"/>
    <n v="149.80000000000001"/>
    <n v="148.19999999999999"/>
    <n v="150.1"/>
    <s v="NA"/>
    <n v="152.30000000000001"/>
    <n v="152.30000000000001"/>
    <n v="155.30000000000001"/>
    <n v="156.1"/>
    <n v="159.6"/>
    <n v="163.4"/>
    <n v="164.5"/>
    <n v="159.6"/>
    <n v="154.69999999999999"/>
    <n v="154.5"/>
    <n v="155.6"/>
    <n v="158.69999999999999"/>
    <n v="160.5"/>
    <n v="161.69999999999999"/>
    <n v="161.80000000000001"/>
    <n v="162.1"/>
    <n v="165.5"/>
    <n v="167.5"/>
    <n v="165.8"/>
    <n v="164.1"/>
    <n v="163.9"/>
    <n v="166.6"/>
    <n v="168.6"/>
    <n v="170.8"/>
    <n v="172.4"/>
    <n v="172.5"/>
    <n v="173.9"/>
    <n v="175.5"/>
    <n v="177.4"/>
    <n v="176.6"/>
    <n v="174.4"/>
    <n v="175"/>
    <n v="174.8"/>
    <n v="174.8"/>
    <n v="175.5"/>
    <n v="176.8"/>
  </r>
  <r>
    <x v="0"/>
    <x v="0"/>
    <s v="Pan, tobacco and intoxicants"/>
    <n v="105.1"/>
    <n v="105.6"/>
    <n v="106.5"/>
    <n v="107.1"/>
    <n v="108.1"/>
    <n v="109"/>
    <n v="109.8"/>
    <n v="110.7"/>
    <n v="111.7"/>
    <n v="112.2"/>
    <n v="112.8"/>
    <n v="113.6"/>
    <n v="114"/>
    <n v="114.2"/>
    <n v="114.6"/>
    <n v="115.4"/>
    <n v="116.3"/>
    <n v="117.3"/>
    <n v="118"/>
    <n v="118.8"/>
    <n v="119.5"/>
    <n v="120"/>
    <n v="120.8"/>
    <n v="121.7"/>
    <n v="122.7"/>
    <n v="124.2"/>
    <n v="124.7"/>
    <n v="125.7"/>
    <n v="126.7"/>
    <n v="128.19999999999999"/>
    <n v="129.4"/>
    <n v="130.1"/>
    <n v="131"/>
    <n v="131.5"/>
    <n v="132.19999999999999"/>
    <n v="133.1"/>
    <n v="133.6"/>
    <n v="134.4"/>
    <n v="135"/>
    <n v="135.5"/>
    <n v="136"/>
    <n v="137.19999999999999"/>
    <n v="138"/>
    <n v="138.9"/>
    <n v="139.9"/>
    <n v="140.9"/>
    <n v="141.19999999999999"/>
    <n v="142.4"/>
    <n v="143.1"/>
    <n v="143.69999999999999"/>
    <n v="144.19999999999999"/>
    <n v="144.4"/>
    <n v="145.5"/>
    <n v="145.80000000000001"/>
    <n v="147.4"/>
    <n v="149"/>
    <n v="149.80000000000001"/>
    <n v="150.5"/>
    <n v="152.1"/>
    <n v="153.19999999999999"/>
    <n v="153.6"/>
    <n v="153.30000000000001"/>
    <n v="155.1"/>
    <n v="156.1"/>
    <n v="157"/>
    <n v="157.30000000000001"/>
    <n v="156.1"/>
    <n v="156.4"/>
    <n v="157.69999999999999"/>
    <n v="159.6"/>
    <n v="161.9"/>
    <n v="162.4"/>
    <n v="162.69999999999999"/>
    <n v="162.80000000000001"/>
    <n v="162.9"/>
    <n v="163.30000000000001"/>
    <n v="164.2"/>
    <n v="164.5"/>
    <n v="165.1"/>
    <n v="165.7"/>
    <n v="166.3"/>
    <n v="167.2"/>
    <n v="167.8"/>
    <n v="168.6"/>
    <n v="169.4"/>
    <n v="170.5"/>
    <s v="NA"/>
    <s v="NA"/>
    <n v="182.4"/>
    <n v="182.4"/>
    <n v="180.9"/>
    <n v="182.9"/>
    <n v="182.7"/>
    <n v="183.4"/>
    <n v="183.6"/>
    <n v="184.6"/>
    <n v="186.5"/>
    <n v="186.1"/>
    <n v="186.8"/>
    <n v="189.6"/>
    <n v="189.1"/>
    <n v="189.7"/>
    <n v="190.2"/>
    <n v="190.5"/>
    <n v="191.2"/>
    <n v="191.4"/>
    <n v="190.8"/>
    <n v="190.7"/>
    <n v="191.5"/>
    <n v="192.3"/>
    <n v="192.8"/>
    <n v="192.9"/>
    <n v="192.9"/>
    <n v="193.2"/>
    <n v="193.7"/>
    <n v="194.5"/>
    <n v="194.9"/>
    <n v="195.5"/>
    <n v="195.9"/>
    <n v="196.9"/>
    <n v="198.3"/>
    <n v="198.4"/>
    <n v="199.5"/>
    <n v="199.9"/>
  </r>
  <r>
    <x v="0"/>
    <x v="1"/>
    <s v="Clothing"/>
    <n v="106.5"/>
    <n v="107.1"/>
    <n v="107.6"/>
    <n v="108.1"/>
    <n v="108.8"/>
    <n v="109.7"/>
    <n v="110.5"/>
    <n v="111.3"/>
    <n v="112.7"/>
    <n v="113.6"/>
    <n v="114.6"/>
    <n v="115.8"/>
    <n v="116.5"/>
    <n v="117.1"/>
    <n v="117.5"/>
    <n v="118.1"/>
    <n v="118.7"/>
    <n v="119.7"/>
    <n v="120.7"/>
    <n v="120.9"/>
    <n v="121.7"/>
    <n v="122.7"/>
    <n v="123.3"/>
    <n v="123.8"/>
    <n v="124.4"/>
    <n v="125.4"/>
    <n v="126"/>
    <n v="126.4"/>
    <n v="127.3"/>
    <n v="128.4"/>
    <n v="128.80000000000001"/>
    <n v="129.5"/>
    <n v="130.4"/>
    <n v="131.1"/>
    <n v="132.1"/>
    <n v="132.5"/>
    <n v="133.19999999999999"/>
    <n v="133.9"/>
    <n v="134.4"/>
    <n v="135"/>
    <n v="135.4"/>
    <n v="136.30000000000001"/>
    <n v="137.19999999999999"/>
    <n v="137.80000000000001"/>
    <n v="138.5"/>
    <n v="139.6"/>
    <n v="139.9"/>
    <n v="140.4"/>
    <n v="140.69999999999999"/>
    <n v="140.9"/>
    <n v="141.6"/>
    <n v="142.4"/>
    <n v="142.5"/>
    <n v="143.1"/>
    <n v="144.30000000000001"/>
    <n v="145.30000000000001"/>
    <n v="146.1"/>
    <n v="147.19999999999999"/>
    <n v="148.19999999999999"/>
    <n v="148"/>
    <n v="148.30000000000001"/>
    <n v="148.69999999999999"/>
    <n v="149.19999999999999"/>
    <n v="150.1"/>
    <n v="150.80000000000001"/>
    <n v="151.30000000000001"/>
    <n v="151.5"/>
    <n v="152.1"/>
    <n v="152.1"/>
    <n v="150.69999999999999"/>
    <n v="151.69999999999999"/>
    <n v="151.6"/>
    <n v="150.6"/>
    <n v="150.5"/>
    <n v="150.80000000000001"/>
    <n v="151.30000000000001"/>
    <n v="151.4"/>
    <n v="151.6"/>
    <n v="151.80000000000001"/>
    <n v="151.69999999999999"/>
    <n v="151.69999999999999"/>
    <n v="152.30000000000001"/>
    <n v="152.6"/>
    <n v="152.80000000000001"/>
    <n v="153"/>
    <n v="153.4"/>
    <s v="NA"/>
    <s v="NA"/>
    <n v="154.69999999999999"/>
    <n v="154.69999999999999"/>
    <n v="155.1"/>
    <n v="155.4"/>
    <n v="155.69999999999999"/>
    <n v="156.30000000000001"/>
    <n v="157"/>
    <n v="157.5"/>
    <n v="159.1"/>
    <n v="159.6"/>
    <n v="160.69999999999999"/>
    <n v="165.3"/>
    <n v="165.3"/>
    <n v="166"/>
    <n v="167"/>
    <n v="167.7"/>
    <n v="168.9"/>
    <n v="170.4"/>
    <n v="171.8"/>
    <n v="173.2"/>
    <n v="174.1"/>
    <n v="175.4"/>
    <n v="177.5"/>
    <n v="179.3"/>
    <n v="180.7"/>
    <n v="182"/>
    <n v="183.2"/>
    <n v="184.7"/>
    <n v="186.1"/>
    <n v="187.2"/>
    <n v="188.1"/>
    <n v="189"/>
    <n v="190"/>
    <n v="190"/>
    <n v="190.7"/>
    <n v="191.2"/>
  </r>
  <r>
    <x v="0"/>
    <x v="1"/>
    <s v="Footwear"/>
    <n v="105.8"/>
    <n v="106.3"/>
    <n v="106.8"/>
    <n v="107.4"/>
    <n v="107.9"/>
    <n v="108.8"/>
    <n v="109.5"/>
    <n v="110.2"/>
    <n v="111.4"/>
    <n v="112.3"/>
    <n v="113.1"/>
    <n v="114"/>
    <n v="114.5"/>
    <n v="114.5"/>
    <n v="114.9"/>
    <n v="116.1"/>
    <n v="116.8"/>
    <n v="117.3"/>
    <n v="118.3"/>
    <n v="118.8"/>
    <n v="119.2"/>
    <n v="120.3"/>
    <n v="120.5"/>
    <n v="120.6"/>
    <n v="121.6"/>
    <n v="122.7"/>
    <n v="122.9"/>
    <n v="123.3"/>
    <n v="124.1"/>
    <n v="125.1"/>
    <n v="125.5"/>
    <n v="126.3"/>
    <n v="126.8"/>
    <n v="127.3"/>
    <n v="128.19999999999999"/>
    <n v="128.5"/>
    <n v="128.9"/>
    <n v="129.80000000000001"/>
    <n v="130.19999999999999"/>
    <n v="130.6"/>
    <n v="131.1"/>
    <n v="131.6"/>
    <n v="132.19999999999999"/>
    <n v="133"/>
    <n v="133.5"/>
    <n v="134.30000000000001"/>
    <n v="134.5"/>
    <n v="135.19999999999999"/>
    <n v="135.80000000000001"/>
    <n v="135.80000000000001"/>
    <n v="136.19999999999999"/>
    <n v="136.80000000000001"/>
    <n v="137.30000000000001"/>
    <n v="137.69999999999999"/>
    <n v="138.1"/>
    <n v="139.19999999999999"/>
    <n v="139.69999999999999"/>
    <n v="140.6"/>
    <n v="141.5"/>
    <n v="141.9"/>
    <n v="142.30000000000001"/>
    <n v="142.4"/>
    <n v="143"/>
    <n v="143.30000000000001"/>
    <n v="144.1"/>
    <n v="144.69999999999999"/>
    <n v="145.1"/>
    <n v="145.80000000000001"/>
    <n v="146.1"/>
    <n v="144.5"/>
    <n v="145.5"/>
    <n v="145.9"/>
    <n v="145.1"/>
    <n v="146.1"/>
    <n v="146.1"/>
    <n v="146.6"/>
    <n v="146.5"/>
    <n v="146.6"/>
    <n v="146.6"/>
    <n v="146.6"/>
    <n v="146.69999999999999"/>
    <n v="147"/>
    <n v="147.30000000000001"/>
    <n v="147.4"/>
    <n v="147.5"/>
    <n v="147.6"/>
    <s v="NA"/>
    <s v="NA"/>
    <n v="150"/>
    <n v="150"/>
    <n v="149.30000000000001"/>
    <n v="149.9"/>
    <n v="150.6"/>
    <n v="151"/>
    <n v="151.6"/>
    <n v="152.4"/>
    <n v="153.9"/>
    <n v="154.4"/>
    <n v="155.1"/>
    <n v="160.6"/>
    <n v="159.9"/>
    <n v="161.1"/>
    <n v="162.6"/>
    <n v="163.6"/>
    <n v="164.8"/>
    <n v="166"/>
    <n v="167.3"/>
    <n v="169.3"/>
    <n v="171"/>
    <n v="173.2"/>
    <n v="175.1"/>
    <n v="177.2"/>
    <n v="178.7"/>
    <n v="180.3"/>
    <n v="181.7"/>
    <n v="183.3"/>
    <n v="184.4"/>
    <n v="185.2"/>
    <n v="185.9"/>
    <n v="186.3"/>
    <n v="187"/>
    <n v="187"/>
    <n v="187.3"/>
    <n v="187.9"/>
  </r>
  <r>
    <x v="0"/>
    <x v="1"/>
    <s v="Clothing and footwear"/>
    <n v="106.4"/>
    <n v="107"/>
    <n v="107.5"/>
    <n v="108"/>
    <n v="108.6"/>
    <n v="109.5"/>
    <n v="110.3"/>
    <n v="111.1"/>
    <n v="112.5"/>
    <n v="113.4"/>
    <n v="114.4"/>
    <n v="115.5"/>
    <n v="116.2"/>
    <n v="116.7"/>
    <n v="117.2"/>
    <n v="117.8"/>
    <n v="118.5"/>
    <n v="119.3"/>
    <n v="120.3"/>
    <n v="120.7"/>
    <n v="121.3"/>
    <n v="122.3"/>
    <n v="122.9"/>
    <n v="123.3"/>
    <n v="124"/>
    <n v="125"/>
    <n v="125.5"/>
    <n v="126"/>
    <n v="126.8"/>
    <n v="128"/>
    <n v="128.30000000000001"/>
    <n v="129"/>
    <n v="129.9"/>
    <n v="130.6"/>
    <n v="131.5"/>
    <n v="131.9"/>
    <n v="132.6"/>
    <n v="133.4"/>
    <n v="133.80000000000001"/>
    <n v="134.4"/>
    <n v="134.80000000000001"/>
    <n v="135.6"/>
    <n v="136.5"/>
    <n v="137.1"/>
    <n v="137.80000000000001"/>
    <n v="138.80000000000001"/>
    <n v="139.19999999999999"/>
    <n v="139.69999999999999"/>
    <n v="140"/>
    <n v="140.19999999999999"/>
    <n v="140.80000000000001"/>
    <n v="141.6"/>
    <n v="141.80000000000001"/>
    <n v="142.30000000000001"/>
    <n v="143.5"/>
    <n v="144.5"/>
    <n v="145.19999999999999"/>
    <n v="146.19999999999999"/>
    <n v="147.30000000000001"/>
    <n v="147.19999999999999"/>
    <n v="147.5"/>
    <n v="147.80000000000001"/>
    <n v="148.30000000000001"/>
    <n v="149.1"/>
    <n v="149.80000000000001"/>
    <n v="150.30000000000001"/>
    <n v="150.6"/>
    <n v="151.30000000000001"/>
    <n v="151.30000000000001"/>
    <n v="149.80000000000001"/>
    <n v="150.80000000000001"/>
    <n v="150.80000000000001"/>
    <n v="149.9"/>
    <n v="149.9"/>
    <n v="150.1"/>
    <n v="150.69999999999999"/>
    <n v="150.69999999999999"/>
    <n v="150.9"/>
    <n v="151.1"/>
    <n v="151"/>
    <n v="151"/>
    <n v="151.5"/>
    <n v="151.9"/>
    <n v="152.1"/>
    <n v="152.30000000000001"/>
    <n v="152.5"/>
    <s v="NA"/>
    <s v="NA"/>
    <n v="154.1"/>
    <n v="154.1"/>
    <n v="154.30000000000001"/>
    <n v="154.6"/>
    <n v="155"/>
    <n v="155.5"/>
    <n v="156.30000000000001"/>
    <n v="156.80000000000001"/>
    <n v="158.4"/>
    <n v="158.9"/>
    <n v="159.9"/>
    <n v="164.5"/>
    <n v="164.6"/>
    <n v="165.3"/>
    <n v="166.3"/>
    <n v="167.1"/>
    <n v="168.3"/>
    <n v="169.8"/>
    <n v="171.2"/>
    <n v="172.7"/>
    <n v="173.7"/>
    <n v="175.1"/>
    <n v="177.1"/>
    <n v="179"/>
    <n v="180.4"/>
    <n v="181.7"/>
    <n v="183"/>
    <n v="184.5"/>
    <n v="185.9"/>
    <n v="186.9"/>
    <n v="187.8"/>
    <n v="188.6"/>
    <n v="189.6"/>
    <n v="189.6"/>
    <n v="190.2"/>
    <n v="190.8"/>
  </r>
  <r>
    <x v="0"/>
    <x v="2"/>
    <s v="Housing"/>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NA"/>
    <s v="-"/>
    <s v="-"/>
    <s v="NA"/>
    <s v="NA"/>
    <s v="NA"/>
    <s v="NA"/>
    <s v="NA"/>
    <s v="NA"/>
    <s v="NA"/>
    <s v="NA"/>
    <s v="NA"/>
    <s v="NA"/>
    <s v="NA"/>
    <s v="NA"/>
    <s v="NA"/>
    <s v="NA"/>
    <s v="NA"/>
    <s v="NA"/>
    <s v="NA"/>
    <s v="NA"/>
    <s v="NA"/>
    <s v="NA"/>
    <s v="NA"/>
    <s v="NA"/>
    <s v="NA"/>
    <s v="-"/>
    <s v="-"/>
  </r>
  <r>
    <x v="0"/>
    <x v="2"/>
    <s v="Fuel and light"/>
    <n v="105.5"/>
    <n v="106.2"/>
    <n v="106.1"/>
    <n v="106.5"/>
    <n v="107.5"/>
    <n v="108.5"/>
    <n v="109.5"/>
    <n v="109.9"/>
    <n v="111.1"/>
    <n v="111.6"/>
    <n v="112.6"/>
    <n v="112.8"/>
    <n v="113"/>
    <n v="113.2"/>
    <n v="113.4"/>
    <n v="113.4"/>
    <n v="113.4"/>
    <n v="114.4"/>
    <n v="115.3"/>
    <n v="115.4"/>
    <n v="115.8"/>
    <n v="116.4"/>
    <n v="117.3"/>
    <n v="117.4"/>
    <n v="118.4"/>
    <n v="120"/>
    <n v="120.6"/>
    <n v="121.2"/>
    <n v="121.9"/>
    <n v="122.6"/>
    <n v="123"/>
    <n v="123.8"/>
    <n v="123.7"/>
    <n v="124.4"/>
    <n v="125.6"/>
    <n v="125.7"/>
    <n v="126.2"/>
    <n v="127.5"/>
    <n v="127"/>
    <n v="127"/>
    <n v="127.4"/>
    <n v="128"/>
    <n v="128.19999999999999"/>
    <n v="129.1"/>
    <n v="129.69999999999999"/>
    <n v="129.80000000000001"/>
    <n v="130.30000000000001"/>
    <n v="132"/>
    <n v="132.1"/>
    <n v="133.19999999999999"/>
    <n v="134.19999999999999"/>
    <n v="135"/>
    <n v="135"/>
    <n v="134.80000000000001"/>
    <n v="135.30000000000001"/>
    <n v="136.4"/>
    <n v="137.4"/>
    <n v="138.1"/>
    <n v="141.1"/>
    <n v="142.6"/>
    <n v="142.30000000000001"/>
    <n v="142.4"/>
    <n v="142.6"/>
    <n v="143.80000000000001"/>
    <n v="144.30000000000001"/>
    <n v="145.1"/>
    <n v="146.80000000000001"/>
    <n v="147.69999999999999"/>
    <n v="149"/>
    <n v="149.69999999999999"/>
    <n v="150.30000000000001"/>
    <n v="149"/>
    <n v="146.19999999999999"/>
    <n v="145.30000000000001"/>
    <n v="146.4"/>
    <n v="146.9"/>
    <n v="147.80000000000001"/>
    <n v="146.80000000000001"/>
    <n v="146.4"/>
    <n v="146.9"/>
    <n v="147.69999999999999"/>
    <n v="148.4"/>
    <n v="149.9"/>
    <n v="150.4"/>
    <n v="152.30000000000001"/>
    <n v="153.4"/>
    <n v="148.4"/>
    <s v="NA"/>
    <n v="144.9"/>
    <n v="144.9"/>
    <n v="145.80000000000001"/>
    <n v="146.4"/>
    <n v="146.80000000000001"/>
    <n v="147.5"/>
    <n v="148.69999999999999"/>
    <n v="150.9"/>
    <n v="154.4"/>
    <n v="156"/>
    <n v="156"/>
    <n v="161.69999999999999"/>
    <n v="162.1"/>
    <n v="162.5"/>
    <n v="163.1"/>
    <n v="163.69999999999999"/>
    <n v="165.5"/>
    <n v="165.3"/>
    <n v="165.6"/>
    <n v="165.8"/>
    <n v="167.4"/>
    <n v="168.9"/>
    <n v="173.3"/>
    <n v="175.3"/>
    <n v="176.7"/>
    <n v="179.6"/>
    <n v="179.1"/>
    <n v="179.7"/>
    <n v="180.8"/>
    <n v="181.9"/>
    <n v="182.8"/>
    <n v="183.2"/>
    <n v="181.6"/>
    <n v="181.4"/>
    <n v="181.5"/>
    <n v="182.5"/>
  </r>
  <r>
    <x v="0"/>
    <x v="2"/>
    <s v="Household goods and services"/>
    <n v="104.8"/>
    <n v="105.2"/>
    <n v="105.6"/>
    <n v="106.1"/>
    <n v="106.8"/>
    <n v="107.5"/>
    <n v="108.3"/>
    <n v="108.7"/>
    <n v="109.6"/>
    <n v="110.4"/>
    <n v="111.3"/>
    <n v="112.1"/>
    <n v="112.6"/>
    <n v="112.9"/>
    <n v="113.4"/>
    <n v="113.7"/>
    <n v="114.1"/>
    <n v="114.9"/>
    <n v="115.4"/>
    <n v="115.9"/>
    <n v="116.7"/>
    <n v="117.5"/>
    <n v="118.1"/>
    <n v="118.2"/>
    <n v="118.9"/>
    <n v="119.6"/>
    <n v="120.2"/>
    <n v="120.9"/>
    <n v="121.5"/>
    <n v="122.8"/>
    <n v="123"/>
    <n v="123.7"/>
    <n v="124.5"/>
    <n v="125.1"/>
    <n v="125.6"/>
    <n v="126"/>
    <n v="126.6"/>
    <n v="127.1"/>
    <n v="127.7"/>
    <n v="128"/>
    <n v="128.5"/>
    <n v="129.30000000000001"/>
    <n v="130"/>
    <n v="130.6"/>
    <n v="131.1"/>
    <n v="131.80000000000001"/>
    <n v="132.1"/>
    <n v="132.9"/>
    <n v="133.19999999999999"/>
    <n v="133.6"/>
    <n v="134.1"/>
    <n v="134.30000000000001"/>
    <n v="134.9"/>
    <n v="135.19999999999999"/>
    <n v="136.1"/>
    <n v="137.30000000000001"/>
    <n v="137.9"/>
    <n v="138.4"/>
    <n v="139.4"/>
    <n v="139.5"/>
    <n v="139.80000000000001"/>
    <n v="139.9"/>
    <n v="139.9"/>
    <n v="140.9"/>
    <n v="141.80000000000001"/>
    <n v="142.19999999999999"/>
    <n v="143.1"/>
    <n v="143.80000000000001"/>
    <n v="144"/>
    <n v="147.5"/>
    <n v="148"/>
    <n v="149.5"/>
    <n v="150.1"/>
    <n v="150.1"/>
    <n v="150"/>
    <n v="149.5"/>
    <n v="149.6"/>
    <n v="150"/>
    <n v="150.19999999999999"/>
    <n v="150.30000000000001"/>
    <n v="150.6"/>
    <n v="150.9"/>
    <n v="151.19999999999999"/>
    <n v="151.69999999999999"/>
    <n v="151.80000000000001"/>
    <n v="151.5"/>
    <s v="NA"/>
    <s v="NA"/>
    <n v="151.69999999999999"/>
    <n v="151.69999999999999"/>
    <n v="151.9"/>
    <n v="151.6"/>
    <n v="152"/>
    <n v="152.80000000000001"/>
    <n v="153.4"/>
    <n v="153.9"/>
    <n v="154.80000000000001"/>
    <n v="154.80000000000001"/>
    <n v="155.5"/>
    <n v="158.80000000000001"/>
    <n v="159.19999999999999"/>
    <n v="160.30000000000001"/>
    <n v="160.9"/>
    <n v="161.30000000000001"/>
    <n v="162"/>
    <n v="162.9"/>
    <n v="163.9"/>
    <n v="164.9"/>
    <n v="165.7"/>
    <n v="166.5"/>
    <n v="167.7"/>
    <n v="168.9"/>
    <n v="170.3"/>
    <n v="171.3"/>
    <n v="172.3"/>
    <n v="173.6"/>
    <n v="174.4"/>
    <n v="175.5"/>
    <n v="176.4"/>
    <n v="177.2"/>
    <n v="178.6"/>
    <n v="178.6"/>
    <n v="179.1"/>
    <n v="179.8"/>
  </r>
  <r>
    <x v="0"/>
    <x v="3"/>
    <s v="Health"/>
    <n v="104"/>
    <n v="104.4"/>
    <n v="104.7"/>
    <n v="105.1"/>
    <n v="105.7"/>
    <n v="106.3"/>
    <n v="106.9"/>
    <n v="107.5"/>
    <n v="108.3"/>
    <n v="108.9"/>
    <n v="109.7"/>
    <n v="110.1"/>
    <n v="110.6"/>
    <n v="110.9"/>
    <n v="111.4"/>
    <n v="111.8"/>
    <n v="112.1"/>
    <n v="112.8"/>
    <n v="113.4"/>
    <n v="114"/>
    <n v="114.5"/>
    <n v="115.3"/>
    <n v="115.9"/>
    <n v="116.2"/>
    <n v="116.6"/>
    <n v="117.7"/>
    <n v="118.2"/>
    <n v="118.6"/>
    <n v="119.4"/>
    <n v="120.4"/>
    <n v="120.8"/>
    <n v="121.1"/>
    <n v="121.4"/>
    <n v="122"/>
    <n v="122.6"/>
    <n v="123.1"/>
    <n v="123.7"/>
    <n v="124.3"/>
    <n v="124.8"/>
    <n v="125.2"/>
    <n v="125.8"/>
    <n v="126.2"/>
    <n v="126.7"/>
    <n v="127"/>
    <n v="127.8"/>
    <n v="128.69999999999999"/>
    <n v="129.1"/>
    <n v="129.69999999999999"/>
    <n v="129.9"/>
    <n v="130.1"/>
    <n v="130.6"/>
    <n v="131"/>
    <n v="131.4"/>
    <n v="131.30000000000001"/>
    <n v="132.1"/>
    <n v="133"/>
    <n v="133.4"/>
    <n v="134.19999999999999"/>
    <n v="135.80000000000001"/>
    <n v="136.1"/>
    <n v="136"/>
    <n v="136.19999999999999"/>
    <n v="136.69999999999999"/>
    <n v="137.6"/>
    <n v="138.4"/>
    <n v="138.4"/>
    <n v="139"/>
    <n v="139.4"/>
    <n v="140"/>
    <n v="144.80000000000001"/>
    <n v="145.4"/>
    <n v="149.6"/>
    <n v="149.6"/>
    <n v="149.9"/>
    <n v="150.4"/>
    <n v="151.30000000000001"/>
    <n v="151.69999999999999"/>
    <n v="152.19999999999999"/>
    <n v="152.69999999999999"/>
    <n v="153.4"/>
    <n v="153.69999999999999"/>
    <n v="154.30000000000001"/>
    <n v="154.80000000000001"/>
    <n v="155.69999999999999"/>
    <n v="156.19999999999999"/>
    <n v="156.69999999999999"/>
    <n v="154.30000000000001"/>
    <s v="NA"/>
    <n v="158.19999999999999"/>
    <n v="158.19999999999999"/>
    <n v="158.80000000000001"/>
    <n v="159.1"/>
    <n v="159.5"/>
    <n v="160.4"/>
    <n v="161.6"/>
    <n v="162.5"/>
    <n v="164.3"/>
    <n v="164.6"/>
    <n v="165.3"/>
    <n v="169.1"/>
    <n v="169.7"/>
    <n v="170.4"/>
    <n v="171.1"/>
    <n v="171.9"/>
    <n v="172.5"/>
    <n v="173.4"/>
    <n v="174"/>
    <n v="174.7"/>
    <n v="175.3"/>
    <n v="176"/>
    <n v="177"/>
    <n v="177.7"/>
    <n v="178.2"/>
    <n v="178.8"/>
    <n v="179.4"/>
    <n v="180.2"/>
    <n v="181.2"/>
    <n v="182.3"/>
    <n v="183.5"/>
    <n v="184.7"/>
    <n v="186.6"/>
    <n v="186.6"/>
    <n v="187.2"/>
    <n v="187.8"/>
  </r>
  <r>
    <x v="0"/>
    <x v="4"/>
    <s v="Transport and communication"/>
    <n v="103.3"/>
    <n v="103.9"/>
    <n v="104.6"/>
    <n v="104.4"/>
    <n v="104.1"/>
    <n v="105"/>
    <n v="106.8"/>
    <n v="107.8"/>
    <n v="109.3"/>
    <n v="109.3"/>
    <n v="109.6"/>
    <n v="109.9"/>
    <n v="110.5"/>
    <n v="110.8"/>
    <n v="111.2"/>
    <n v="111.2"/>
    <n v="111.4"/>
    <n v="112.2"/>
    <n v="113.2"/>
    <n v="113.2"/>
    <n v="112.8"/>
    <n v="112.6"/>
    <n v="112"/>
    <n v="111.5"/>
    <n v="111"/>
    <n v="110.9"/>
    <n v="111.6"/>
    <n v="111.9"/>
    <n v="113.3"/>
    <n v="114.2"/>
    <n v="114.1"/>
    <n v="113.6"/>
    <n v="113.8"/>
    <n v="113.8"/>
    <n v="114"/>
    <n v="114"/>
    <n v="113.6"/>
    <n v="113.9"/>
    <n v="113.6"/>
    <n v="114.4"/>
    <n v="115.1"/>
    <n v="116.3"/>
    <n v="116.4"/>
    <n v="116"/>
    <n v="117"/>
    <n v="117.8"/>
    <n v="118.2"/>
    <n v="118.6"/>
    <n v="119.1"/>
    <n v="119.5"/>
    <n v="119.8"/>
    <n v="119.2"/>
    <n v="119.4"/>
    <n v="119.4"/>
    <n v="119.1"/>
    <n v="120.3"/>
    <n v="121.2"/>
    <n v="121"/>
    <n v="121.6"/>
    <n v="122"/>
    <n v="122.7"/>
    <n v="123.3"/>
    <n v="124.6"/>
    <n v="125.3"/>
    <n v="126.4"/>
    <n v="127.4"/>
    <n v="127.5"/>
    <n v="128.30000000000001"/>
    <n v="129.9"/>
    <n v="130.80000000000001"/>
    <n v="130.30000000000001"/>
    <n v="128.9"/>
    <n v="128.6"/>
    <n v="129.19999999999999"/>
    <n v="129.9"/>
    <n v="130.19999999999999"/>
    <n v="130.19999999999999"/>
    <n v="131.19999999999999"/>
    <n v="131.4"/>
    <n v="131.6"/>
    <n v="131.69999999999999"/>
    <n v="132.1"/>
    <n v="135"/>
    <n v="136.30000000000001"/>
    <n v="136"/>
    <n v="135.80000000000001"/>
    <s v="NA"/>
    <s v="NA"/>
    <n v="141.4"/>
    <n v="141.4"/>
    <n v="143.6"/>
    <n v="144.6"/>
    <n v="146.4"/>
    <n v="146.1"/>
    <n v="146.4"/>
    <n v="147.5"/>
    <n v="150.19999999999999"/>
    <n v="151.30000000000001"/>
    <n v="151.69999999999999"/>
    <n v="153.19999999999999"/>
    <n v="154.19999999999999"/>
    <n v="157.1"/>
    <n v="157.69999999999999"/>
    <n v="157.80000000000001"/>
    <n v="159.5"/>
    <n v="158.9"/>
    <n v="160.1"/>
    <n v="160.80000000000001"/>
    <n v="161.19999999999999"/>
    <n v="162"/>
    <n v="166.2"/>
    <n v="167.1"/>
    <n v="165.5"/>
    <n v="166.3"/>
    <n v="166.6"/>
    <n v="166.9"/>
    <n v="167.4"/>
    <n v="167.5"/>
    <n v="167.8"/>
    <n v="168.2"/>
    <n v="169"/>
    <n v="169"/>
    <n v="169.4"/>
    <n v="169.7"/>
  </r>
  <r>
    <x v="0"/>
    <x v="5"/>
    <s v="Recreation and amusement"/>
    <n v="103.4"/>
    <n v="104"/>
    <n v="104"/>
    <n v="104.5"/>
    <n v="105"/>
    <n v="105.6"/>
    <n v="106.4"/>
    <n v="106.8"/>
    <n v="107.7"/>
    <n v="108.3"/>
    <n v="108.7"/>
    <n v="109.2"/>
    <n v="109.6"/>
    <n v="109.9"/>
    <n v="110.2"/>
    <n v="110.5"/>
    <n v="110.9"/>
    <n v="111.4"/>
    <n v="111.8"/>
    <n v="112.2"/>
    <n v="112.6"/>
    <n v="113"/>
    <n v="113.3"/>
    <n v="113.3"/>
    <n v="114"/>
    <n v="114.8"/>
    <n v="115.5"/>
    <n v="116.2"/>
    <n v="116.7"/>
    <n v="117.9"/>
    <n v="118"/>
    <n v="118.5"/>
    <n v="119.6"/>
    <n v="120.1"/>
    <n v="120.9"/>
    <n v="121.6"/>
    <n v="121.4"/>
    <n v="122.3"/>
    <n v="122.5"/>
    <n v="123.2"/>
    <n v="123.6"/>
    <n v="124.1"/>
    <n v="125.2"/>
    <n v="125.5"/>
    <n v="125.7"/>
    <n v="126.5"/>
    <n v="126.9"/>
    <n v="127.3"/>
    <n v="127"/>
    <n v="127.7"/>
    <n v="128.30000000000001"/>
    <n v="128.30000000000001"/>
    <n v="129.4"/>
    <n v="129.80000000000001"/>
    <n v="130.6"/>
    <n v="131.5"/>
    <n v="132.30000000000001"/>
    <n v="133"/>
    <n v="133.69999999999999"/>
    <n v="133.4"/>
    <n v="134.30000000000001"/>
    <n v="134.30000000000001"/>
    <n v="135.1"/>
    <n v="136"/>
    <n v="136.80000000000001"/>
    <n v="137.80000000000001"/>
    <n v="138.4"/>
    <n v="138.6"/>
    <n v="140"/>
    <n v="140.1"/>
    <n v="143.1"/>
    <n v="143.30000000000001"/>
    <n v="142.9"/>
    <n v="143.4"/>
    <n v="143.80000000000001"/>
    <n v="145.9"/>
    <n v="146.4"/>
    <n v="147.5"/>
    <n v="148"/>
    <n v="148.30000000000001"/>
    <n v="148.69999999999999"/>
    <n v="149.1"/>
    <n v="149.5"/>
    <n v="150.1"/>
    <n v="150.4"/>
    <n v="151.19999999999999"/>
    <s v="NA"/>
    <s v="NA"/>
    <n v="153.19999999999999"/>
    <n v="153.19999999999999"/>
    <n v="152.19999999999999"/>
    <n v="152.80000000000001"/>
    <n v="152.4"/>
    <n v="153.6"/>
    <n v="153.9"/>
    <n v="155.1"/>
    <n v="157"/>
    <n v="157.80000000000001"/>
    <n v="158.6"/>
    <n v="160"/>
    <n v="160.4"/>
    <n v="160.69999999999999"/>
    <n v="161.1"/>
    <n v="162.69999999999999"/>
    <n v="163.19999999999999"/>
    <n v="163.80000000000001"/>
    <n v="164.5"/>
    <n v="164.9"/>
    <n v="165.5"/>
    <n v="166.6"/>
    <n v="167.2"/>
    <n v="167.6"/>
    <n v="168"/>
    <n v="168.6"/>
    <n v="169.3"/>
    <n v="170"/>
    <n v="170.6"/>
    <n v="170.8"/>
    <n v="171.2"/>
    <n v="171.8"/>
    <n v="172.8"/>
    <n v="172.8"/>
    <n v="173.2"/>
    <n v="173.8"/>
  </r>
  <r>
    <x v="0"/>
    <x v="6"/>
    <s v="Education"/>
    <n v="103.8"/>
    <n v="104.1"/>
    <n v="104.3"/>
    <n v="104.8"/>
    <n v="105.5"/>
    <n v="106.5"/>
    <n v="107.8"/>
    <n v="108.7"/>
    <n v="109.8"/>
    <n v="110.2"/>
    <n v="111"/>
    <n v="111.6"/>
    <n v="111.8"/>
    <n v="112"/>
    <n v="112.4"/>
    <n v="113"/>
    <n v="113.1"/>
    <n v="114.3"/>
    <n v="115.5"/>
    <n v="116.2"/>
    <n v="116.6"/>
    <n v="116.9"/>
    <n v="117.2"/>
    <n v="117.7"/>
    <n v="118.2"/>
    <n v="118.7"/>
    <n v="119.4"/>
    <n v="119.9"/>
    <n v="120.5"/>
    <n v="122"/>
    <n v="122.9"/>
    <n v="123.6"/>
    <n v="124.5"/>
    <n v="125.1"/>
    <n v="125.8"/>
    <n v="125.6"/>
    <n v="126.2"/>
    <n v="127.1"/>
    <n v="127.5"/>
    <n v="127.9"/>
    <n v="129.1"/>
    <n v="130.19999999999999"/>
    <n v="130.80000000000001"/>
    <n v="131.9"/>
    <n v="132.19999999999999"/>
    <n v="133"/>
    <n v="133.69999999999999"/>
    <n v="134.19999999999999"/>
    <n v="134.6"/>
    <n v="134.9"/>
    <n v="135.19999999999999"/>
    <n v="135.69999999999999"/>
    <n v="136.30000000000001"/>
    <n v="136.9"/>
    <n v="138.6"/>
    <n v="140.19999999999999"/>
    <n v="139.6"/>
    <n v="140.1"/>
    <n v="141.5"/>
    <n v="141.1"/>
    <n v="141.6"/>
    <n v="141.5"/>
    <n v="142.69999999999999"/>
    <n v="143.69999999999999"/>
    <n v="144.4"/>
    <n v="145.1"/>
    <n v="145.80000000000001"/>
    <n v="146.9"/>
    <n v="147.6"/>
    <n v="148"/>
    <n v="150.19999999999999"/>
    <n v="155.1"/>
    <n v="155.19999999999999"/>
    <n v="155.5"/>
    <n v="155.5"/>
    <n v="156.69999999999999"/>
    <n v="157.69999999999999"/>
    <n v="159.1"/>
    <n v="159.69999999999999"/>
    <n v="160.19999999999999"/>
    <n v="160.69999999999999"/>
    <n v="160.80000000000001"/>
    <n v="161.1"/>
    <n v="161.69999999999999"/>
    <n v="161.9"/>
    <n v="161.19999999999999"/>
    <s v="NA"/>
    <s v="NA"/>
    <n v="161.80000000000001"/>
    <n v="161.80000000000001"/>
    <n v="162.69999999999999"/>
    <n v="161.1"/>
    <n v="162.5"/>
    <n v="161.6"/>
    <n v="162.9"/>
    <n v="163.5"/>
    <n v="163.6"/>
    <n v="163.80000000000001"/>
    <n v="164.1"/>
    <n v="167.6"/>
    <n v="166.8"/>
    <n v="167.2"/>
    <n v="167.5"/>
    <n v="168.5"/>
    <n v="169"/>
    <n v="169.3"/>
    <n v="169.7"/>
    <n v="169.9"/>
    <n v="170.3"/>
    <n v="170.6"/>
    <n v="170.9"/>
    <n v="171.8"/>
    <n v="172.6"/>
    <n v="174.7"/>
    <n v="175.7"/>
    <n v="176.2"/>
    <n v="176.5"/>
    <n v="176.9"/>
    <n v="177.3"/>
    <n v="177.8"/>
    <n v="178.5"/>
    <n v="178.5"/>
    <n v="179.4"/>
    <n v="180.3"/>
  </r>
  <r>
    <x v="0"/>
    <x v="3"/>
    <s v="Personal care and effects"/>
    <n v="104.7"/>
    <n v="104.6"/>
    <n v="104.3"/>
    <n v="102.7"/>
    <n v="102.1"/>
    <n v="102.5"/>
    <n v="102.5"/>
    <n v="105"/>
    <n v="106.7"/>
    <n v="107.5"/>
    <n v="108.2"/>
    <n v="108.1"/>
    <n v="108.3"/>
    <n v="108.7"/>
    <n v="108.9"/>
    <n v="108.9"/>
    <n v="108.9"/>
    <n v="108"/>
    <n v="108.8"/>
    <n v="109.4"/>
    <n v="109.1"/>
    <n v="109.3"/>
    <n v="108.8"/>
    <n v="109.4"/>
    <n v="110.2"/>
    <n v="110.8"/>
    <n v="110.8"/>
    <n v="111.6"/>
    <n v="112.3"/>
    <n v="113"/>
    <n v="112.7"/>
    <n v="112.5"/>
    <n v="113.7"/>
    <n v="114.2"/>
    <n v="114.2"/>
    <n v="114.1"/>
    <n v="114.9"/>
    <n v="116.8"/>
    <n v="117.4"/>
    <n v="118.4"/>
    <n v="119.7"/>
    <n v="119.9"/>
    <n v="120.9"/>
    <n v="122"/>
    <n v="122.8"/>
    <n v="123"/>
    <n v="123.5"/>
    <n v="121.9"/>
    <n v="122.3"/>
    <n v="123.2"/>
    <n v="123.3"/>
    <n v="123.7"/>
    <n v="123.7"/>
    <n v="124.1"/>
    <n v="124.4"/>
    <n v="125.4"/>
    <n v="126.7"/>
    <n v="127.4"/>
    <n v="128.1"/>
    <n v="127.8"/>
    <n v="128.6"/>
    <n v="128.80000000000001"/>
    <n v="129.30000000000001"/>
    <n v="130.4"/>
    <n v="131.19999999999999"/>
    <n v="131.4"/>
    <n v="131.4"/>
    <n v="131.30000000000001"/>
    <n v="132"/>
    <n v="134.4"/>
    <n v="133.1"/>
    <n v="133.19999999999999"/>
    <n v="133.5"/>
    <n v="134.9"/>
    <n v="134"/>
    <n v="133.9"/>
    <n v="134.80000000000001"/>
    <n v="136.1"/>
    <n v="138.80000000000001"/>
    <n v="140.19999999999999"/>
    <n v="140.30000000000001"/>
    <n v="140.6"/>
    <n v="140.6"/>
    <n v="142.5"/>
    <n v="143.4"/>
    <n v="145.1"/>
    <s v="NA"/>
    <s v="NA"/>
    <n v="151.19999999999999"/>
    <n v="151.19999999999999"/>
    <n v="153.6"/>
    <n v="157.4"/>
    <n v="156.19999999999999"/>
    <n v="156.19999999999999"/>
    <n v="156.6"/>
    <n v="156.19999999999999"/>
    <n v="155.19999999999999"/>
    <n v="153.1"/>
    <n v="154.6"/>
    <n v="159.30000000000001"/>
    <n v="159.4"/>
    <n v="160.4"/>
    <n v="160.30000000000001"/>
    <n v="160.19999999999999"/>
    <n v="161.1"/>
    <n v="162.4"/>
    <n v="162.80000000000001"/>
    <n v="163.19999999999999"/>
    <n v="164.5"/>
    <n v="167.4"/>
    <n v="169"/>
    <n v="168.5"/>
    <n v="169.5"/>
    <n v="169.7"/>
    <n v="171.1"/>
    <n v="170.8"/>
    <n v="172"/>
    <n v="173.4"/>
    <n v="175.7"/>
    <n v="178.4"/>
    <n v="180.7"/>
    <n v="180.7"/>
    <n v="183.8"/>
    <n v="184.9"/>
  </r>
  <r>
    <x v="0"/>
    <x v="7"/>
    <s v="Miscellaneous"/>
    <n v="104"/>
    <n v="104.4"/>
    <n v="104.6"/>
    <n v="104.6"/>
    <n v="104.8"/>
    <n v="105.5"/>
    <n v="106.5"/>
    <n v="107.5"/>
    <n v="108.7"/>
    <n v="109.1"/>
    <n v="109.8"/>
    <n v="110.1"/>
    <n v="110.6"/>
    <n v="110.9"/>
    <n v="111.3"/>
    <n v="111.5"/>
    <n v="111.8"/>
    <n v="112.3"/>
    <n v="113.1"/>
    <n v="113.5"/>
    <n v="113.7"/>
    <n v="114"/>
    <n v="114.1"/>
    <n v="114.2"/>
    <n v="114.5"/>
    <n v="115"/>
    <n v="115.5"/>
    <n v="116"/>
    <n v="116.9"/>
    <n v="117.9"/>
    <n v="118.1"/>
    <n v="118.2"/>
    <n v="118.8"/>
    <n v="119.2"/>
    <n v="119.6"/>
    <n v="119.8"/>
    <n v="120.1"/>
    <n v="120.9"/>
    <n v="121.1"/>
    <n v="121.7"/>
    <n v="122.5"/>
    <n v="123.3"/>
    <n v="123.8"/>
    <n v="124.2"/>
    <n v="124.9"/>
    <n v="125.7"/>
    <n v="126.1"/>
    <n v="126.3"/>
    <n v="126.6"/>
    <n v="127"/>
    <n v="127.4"/>
    <n v="127.5"/>
    <n v="127.9"/>
    <n v="128.1"/>
    <n v="128.6"/>
    <n v="129.69999999999999"/>
    <n v="130.30000000000001"/>
    <n v="130.69999999999999"/>
    <n v="131.69999999999999"/>
    <n v="131.9"/>
    <n v="132.30000000000001"/>
    <n v="132.5"/>
    <n v="133.30000000000001"/>
    <n v="134.19999999999999"/>
    <n v="135.1"/>
    <n v="135.6"/>
    <n v="136"/>
    <n v="136.6"/>
    <n v="137.4"/>
    <n v="139.80000000000001"/>
    <n v="140.1"/>
    <n v="141.6"/>
    <n v="141.69999999999999"/>
    <n v="142.19999999999999"/>
    <n v="142.4"/>
    <n v="142.9"/>
    <n v="143.30000000000001"/>
    <n v="144.19999999999999"/>
    <n v="144.9"/>
    <n v="145.4"/>
    <n v="145.69999999999999"/>
    <n v="146.1"/>
    <n v="147.1"/>
    <n v="148.1"/>
    <n v="148.4"/>
    <n v="148.6"/>
    <s v="NA"/>
    <s v="NA"/>
    <n v="151.69999999999999"/>
    <n v="151.69999999999999"/>
    <n v="153"/>
    <n v="153.69999999999999"/>
    <n v="154.30000000000001"/>
    <n v="154.5"/>
    <n v="155.19999999999999"/>
    <n v="155.9"/>
    <n v="157.19999999999999"/>
    <n v="157.30000000000001"/>
    <n v="158"/>
    <n v="161.1"/>
    <n v="161.5"/>
    <n v="162.80000000000001"/>
    <n v="163.30000000000001"/>
    <n v="163.80000000000001"/>
    <n v="164.7"/>
    <n v="165.2"/>
    <n v="166"/>
    <n v="166.6"/>
    <n v="167.3"/>
    <n v="168.3"/>
    <n v="170.2"/>
    <n v="170.9"/>
    <n v="171"/>
    <n v="171.8"/>
    <n v="172.6"/>
    <n v="173.1"/>
    <n v="173.9"/>
    <n v="174.6"/>
    <n v="175.5"/>
    <n v="176.5"/>
    <n v="177.9"/>
    <n v="177.9"/>
    <n v="178.9"/>
    <n v="179.5"/>
  </r>
  <r>
    <x v="0"/>
    <x v="8"/>
    <s v="General index"/>
    <n v="105.1"/>
    <n v="105.8"/>
    <n v="106"/>
    <n v="106.4"/>
    <n v="107.2"/>
    <n v="108.9"/>
    <n v="110.7"/>
    <n v="112.1"/>
    <n v="114.2"/>
    <n v="115.5"/>
    <n v="117.4"/>
    <n v="115.5"/>
    <n v="114.2"/>
    <n v="114"/>
    <n v="114.6"/>
    <n v="115.4"/>
    <n v="116"/>
    <n v="117"/>
    <n v="119.5"/>
    <n v="120.7"/>
    <n v="120.9"/>
    <n v="121"/>
    <n v="121.1"/>
    <n v="120.3"/>
    <n v="120.3"/>
    <n v="120.6"/>
    <n v="121.1"/>
    <n v="121.5"/>
    <n v="122.4"/>
    <n v="124.1"/>
    <n v="124.7"/>
    <n v="126.1"/>
    <n v="127"/>
    <n v="127.7"/>
    <n v="128.30000000000001"/>
    <n v="127.9"/>
    <n v="128.1"/>
    <n v="127.9"/>
    <n v="128"/>
    <n v="129"/>
    <n v="130.30000000000001"/>
    <n v="131.9"/>
    <n v="133"/>
    <n v="133.5"/>
    <n v="133.4"/>
    <n v="133.80000000000001"/>
    <n v="133.6"/>
    <n v="132.80000000000001"/>
    <n v="132.4"/>
    <n v="132.6"/>
    <n v="132.80000000000001"/>
    <n v="132.9"/>
    <n v="133.30000000000001"/>
    <n v="133.9"/>
    <n v="136.19999999999999"/>
    <n v="137.80000000000001"/>
    <n v="137.6"/>
    <n v="138.30000000000001"/>
    <n v="140"/>
    <n v="139.80000000000001"/>
    <n v="139.30000000000001"/>
    <n v="138.5"/>
    <n v="138.69999999999999"/>
    <n v="139.1"/>
    <n v="139.80000000000001"/>
    <n v="140.5"/>
    <n v="141.80000000000001"/>
    <n v="142.5"/>
    <n v="142.1"/>
    <n v="142.19999999999999"/>
    <n v="142.4"/>
    <n v="141.9"/>
    <n v="141"/>
    <n v="141"/>
    <n v="141.19999999999999"/>
    <n v="142.4"/>
    <n v="143.6"/>
    <n v="144.9"/>
    <n v="145.69999999999999"/>
    <n v="146.69999999999999"/>
    <n v="148.30000000000001"/>
    <n v="149.9"/>
    <n v="152.30000000000001"/>
    <n v="151.9"/>
    <n v="150.4"/>
    <n v="149.80000000000001"/>
    <s v="NA"/>
    <s v="NA"/>
    <n v="152.69999999999999"/>
    <n v="152.69999999999999"/>
    <n v="154.69999999999999"/>
    <n v="155.4"/>
    <n v="157.5"/>
    <n v="159.80000000000001"/>
    <n v="160.69999999999999"/>
    <n v="158.5"/>
    <n v="156.69999999999999"/>
    <n v="156.69999999999999"/>
    <n v="157.6"/>
    <n v="161.1"/>
    <n v="162.1"/>
    <n v="163.19999999999999"/>
    <n v="163.6"/>
    <n v="164"/>
    <n v="166.3"/>
    <n v="167.6"/>
    <n v="167"/>
    <n v="166.4"/>
    <n v="166.7"/>
    <n v="168.7"/>
    <n v="170.8"/>
    <n v="172.5"/>
    <n v="173.6"/>
    <n v="174.3"/>
    <n v="175.3"/>
    <n v="176.4"/>
    <n v="177.9"/>
    <n v="177.8"/>
    <n v="177.1"/>
    <n v="177.8"/>
    <n v="178"/>
    <n v="178"/>
    <n v="178.8"/>
    <n v="179.8"/>
  </r>
  <r>
    <x v="1"/>
    <x v="0"/>
    <s v="Cereals and products"/>
    <n v="110.5"/>
    <n v="112.9"/>
    <n v="113.9"/>
    <n v="114.6"/>
    <n v="115.4"/>
    <n v="117"/>
    <n v="117.8"/>
    <n v="118.3"/>
    <n v="118.6"/>
    <n v="118.9"/>
    <n v="119.8"/>
    <n v="120.5"/>
    <n v="121.2"/>
    <n v="121.9"/>
    <n v="122.1"/>
    <n v="122.5"/>
    <n v="122.7"/>
    <n v="123.1"/>
    <n v="123.8"/>
    <n v="124.8"/>
    <n v="124.2"/>
    <n v="124.6"/>
    <n v="124.5"/>
    <n v="124"/>
    <n v="124"/>
    <n v="124.3"/>
    <n v="124"/>
    <n v="123.8"/>
    <n v="123.8"/>
    <n v="123.6"/>
    <n v="123.2"/>
    <n v="123.1"/>
    <n v="123.4"/>
    <n v="123.6"/>
    <n v="124"/>
    <n v="124.3"/>
    <n v="124.7"/>
    <n v="124.8"/>
    <n v="124.8"/>
    <n v="124.9"/>
    <n v="125"/>
    <n v="125.9"/>
    <n v="126.8"/>
    <n v="127.6"/>
    <n v="128.1"/>
    <n v="128.69999999999999"/>
    <n v="130.19999999999999"/>
    <n v="131.6"/>
    <n v="132.19999999999999"/>
    <n v="132.80000000000001"/>
    <n v="132.69999999999999"/>
    <n v="132.69999999999999"/>
    <n v="132.6"/>
    <n v="132.9"/>
    <n v="132.80000000000001"/>
    <n v="133.19999999999999"/>
    <n v="133.6"/>
    <n v="133.9"/>
    <n v="134.30000000000001"/>
    <n v="134.4"/>
    <n v="134.6"/>
    <n v="134.80000000000001"/>
    <n v="135"/>
    <n v="135"/>
    <n v="135"/>
    <n v="135.30000000000001"/>
    <n v="135.6"/>
    <n v="136.5"/>
    <n v="137"/>
    <n v="137.6"/>
    <n v="138.1"/>
    <n v="138.5"/>
    <n v="138.30000000000001"/>
    <n v="139.4"/>
    <n v="139.69999999999999"/>
    <n v="140.4"/>
    <n v="140.69999999999999"/>
    <n v="141.4"/>
    <n v="142.1"/>
    <n v="142.69999999999999"/>
    <n v="143.5"/>
    <n v="144.1"/>
    <n v="144.9"/>
    <n v="145.6"/>
    <n v="146.19999999999999"/>
    <n v="146.5"/>
    <n v="151.80000000000001"/>
    <s v="NA"/>
    <n v="152.69999999999999"/>
    <n v="152.69999999999999"/>
    <n v="151.6"/>
    <n v="151.5"/>
    <n v="150.6"/>
    <n v="149.69999999999999"/>
    <n v="149"/>
    <n v="148"/>
    <n v="147.6"/>
    <n v="147.5"/>
    <n v="147.6"/>
    <n v="148.80000000000001"/>
    <n v="149.19999999999999"/>
    <n v="149.1"/>
    <n v="149.30000000000001"/>
    <n v="149.30000000000001"/>
    <n v="150.1"/>
    <n v="151"/>
    <n v="151.6"/>
    <n v="152.19999999999999"/>
    <n v="152.5"/>
    <n v="153.69999999999999"/>
    <n v="155.4"/>
    <n v="156.69999999999999"/>
    <n v="157.5"/>
    <n v="159.30000000000001"/>
    <n v="162.1"/>
    <n v="164.9"/>
    <n v="166.4"/>
    <n v="168.4"/>
    <n v="170.2"/>
    <n v="173.3"/>
    <n v="174.7"/>
    <n v="174.7"/>
    <n v="174.8"/>
    <n v="174.7"/>
  </r>
  <r>
    <x v="1"/>
    <x v="0"/>
    <s v="Meat and fish"/>
    <n v="109.1"/>
    <n v="112.9"/>
    <n v="111.4"/>
    <n v="113.4"/>
    <n v="114.2"/>
    <n v="120.1"/>
    <n v="119.2"/>
    <n v="120.4"/>
    <n v="119.1"/>
    <n v="118.1"/>
    <n v="116.3"/>
    <n v="118.1"/>
    <n v="122"/>
    <n v="122"/>
    <n v="121.4"/>
    <n v="121.7"/>
    <n v="124.1"/>
    <n v="125.9"/>
    <n v="126.4"/>
    <n v="127.3"/>
    <n v="125.4"/>
    <n v="126.1"/>
    <n v="125.6"/>
    <n v="124.7"/>
    <n v="125.5"/>
    <n v="126.5"/>
    <n v="126.7"/>
    <n v="128.19999999999999"/>
    <n v="129.69999999999999"/>
    <n v="134.4"/>
    <n v="134.30000000000001"/>
    <n v="131.69999999999999"/>
    <n v="129"/>
    <n v="128.6"/>
    <n v="129.80000000000001"/>
    <n v="131.69999999999999"/>
    <n v="135.9"/>
    <n v="135.1"/>
    <n v="136.30000000000001"/>
    <n v="139.30000000000001"/>
    <n v="142.1"/>
    <n v="143.9"/>
    <n v="144.19999999999999"/>
    <n v="140.30000000000001"/>
    <n v="137.69999999999999"/>
    <n v="138.4"/>
    <n v="138.5"/>
    <n v="138.19999999999999"/>
    <n v="138.9"/>
    <n v="139.80000000000001"/>
    <n v="139.4"/>
    <n v="140.6"/>
    <n v="144.1"/>
    <n v="148.69999999999999"/>
    <n v="148.4"/>
    <n v="143.9"/>
    <n v="143"/>
    <n v="142.80000000000001"/>
    <n v="142.1"/>
    <n v="142.6"/>
    <n v="143.69999999999999"/>
    <n v="143"/>
    <n v="143.1"/>
    <n v="144.30000000000001"/>
    <n v="148.19999999999999"/>
    <n v="149.69999999999999"/>
    <n v="148.6"/>
    <n v="146.4"/>
    <n v="143.1"/>
    <n v="144.9"/>
    <n v="146.30000000000001"/>
    <n v="147.80000000000001"/>
    <n v="149.4"/>
    <n v="150.1"/>
    <n v="151.1"/>
    <n v="156.69999999999999"/>
    <n v="159.6"/>
    <n v="160.19999999999999"/>
    <n v="158.30000000000001"/>
    <n v="158.69999999999999"/>
    <n v="159.80000000000001"/>
    <n v="162.4"/>
    <n v="164.5"/>
    <n v="167.6"/>
    <n v="167.6"/>
    <n v="167.5"/>
    <s v="NA"/>
    <s v="NA"/>
    <n v="197"/>
    <n v="197"/>
    <n v="197.8"/>
    <n v="193.1"/>
    <n v="193.7"/>
    <n v="195.5"/>
    <n v="195.7"/>
    <n v="194.8"/>
    <n v="191.2"/>
    <n v="197.5"/>
    <n v="202.5"/>
    <n v="204.3"/>
    <n v="205.5"/>
    <n v="210.9"/>
    <n v="207.4"/>
    <n v="207.4"/>
    <n v="208.4"/>
    <n v="204.9"/>
    <n v="202.2"/>
    <n v="202.1"/>
    <n v="205.2"/>
    <n v="215.8"/>
    <n v="215.8"/>
    <n v="221.2"/>
    <n v="223.4"/>
    <n v="217.1"/>
    <n v="210.9"/>
    <n v="213.7"/>
    <n v="214.9"/>
    <n v="213.4"/>
    <n v="212.9"/>
    <n v="215.2"/>
    <n v="212.2"/>
    <n v="212.2"/>
    <n v="213.7"/>
    <n v="219.4"/>
  </r>
  <r>
    <x v="1"/>
    <x v="0"/>
    <s v="Egg"/>
    <n v="113"/>
    <n v="116.9"/>
    <n v="113.2"/>
    <n v="106"/>
    <n v="102.7"/>
    <n v="112.5"/>
    <n v="114"/>
    <n v="112.7"/>
    <n v="113.2"/>
    <n v="114.5"/>
    <n v="122.6"/>
    <n v="128.5"/>
    <n v="129.9"/>
    <n v="124.5"/>
    <n v="121.5"/>
    <n v="113.3"/>
    <n v="114.2"/>
    <n v="115.4"/>
    <n v="118"/>
    <n v="116.5"/>
    <n v="116.4"/>
    <n v="117.8"/>
    <n v="122.7"/>
    <n v="126.3"/>
    <n v="126.6"/>
    <n v="119.5"/>
    <n v="113.5"/>
    <n v="110"/>
    <n v="111.3"/>
    <n v="120.9"/>
    <n v="119.5"/>
    <n v="118.1"/>
    <n v="115.6"/>
    <n v="115.9"/>
    <n v="121.5"/>
    <n v="127.1"/>
    <n v="132"/>
    <n v="130.30000000000001"/>
    <n v="123.7"/>
    <n v="119.9"/>
    <n v="127"/>
    <n v="130.9"/>
    <n v="136.6"/>
    <n v="133.69999999999999"/>
    <n v="130.6"/>
    <n v="130.30000000000001"/>
    <n v="134.1"/>
    <n v="134.9"/>
    <n v="132.6"/>
    <n v="129.30000000000001"/>
    <n v="128.4"/>
    <n v="124.5"/>
    <n v="125.6"/>
    <n v="128.30000000000001"/>
    <n v="129.4"/>
    <n v="128.30000000000001"/>
    <n v="129.69999999999999"/>
    <n v="131.4"/>
    <n v="146.69999999999999"/>
    <n v="145.9"/>
    <n v="143.6"/>
    <n v="139.9"/>
    <n v="135.5"/>
    <n v="130.80000000000001"/>
    <n v="130.5"/>
    <n v="133.9"/>
    <n v="139.1"/>
    <n v="136.6"/>
    <n v="132.80000000000001"/>
    <n v="133.5"/>
    <n v="137.80000000000001"/>
    <n v="141.1"/>
    <n v="143.5"/>
    <n v="145.30000000000001"/>
    <n v="142.9"/>
    <n v="138.30000000000001"/>
    <n v="140.4"/>
    <n v="142.5"/>
    <n v="140.80000000000001"/>
    <n v="141.6"/>
    <n v="144.69999999999999"/>
    <n v="148.4"/>
    <n v="153.69999999999999"/>
    <n v="157"/>
    <n v="153.1"/>
    <n v="148.9"/>
    <n v="151.9"/>
    <s v="NA"/>
    <n v="154.6"/>
    <n v="154.6"/>
    <n v="154.5"/>
    <n v="157.30000000000001"/>
    <n v="164.8"/>
    <n v="176.9"/>
    <n v="178.3"/>
    <n v="178.4"/>
    <n v="169.9"/>
    <n v="164.7"/>
    <n v="166.4"/>
    <n v="173"/>
    <n v="182.8"/>
    <n v="185"/>
    <n v="174.1"/>
    <n v="174.1"/>
    <n v="173"/>
    <n v="175.4"/>
    <n v="180"/>
    <n v="180.1"/>
    <n v="176.4"/>
    <n v="167.7"/>
    <n v="164.6"/>
    <n v="164.1"/>
    <n v="172.8"/>
    <n v="176.6"/>
    <n v="170.6"/>
    <n v="170.9"/>
    <n v="171.9"/>
    <n v="183.2"/>
    <n v="191.9"/>
    <n v="197"/>
    <n v="177.2"/>
    <n v="177.2"/>
    <n v="172.4"/>
    <n v="176.7"/>
  </r>
  <r>
    <x v="1"/>
    <x v="0"/>
    <s v="Milk and products"/>
    <n v="103.6"/>
    <n v="104"/>
    <n v="104.3"/>
    <n v="104.7"/>
    <n v="105.5"/>
    <n v="107.3"/>
    <n v="108.3"/>
    <n v="108.9"/>
    <n v="109.6"/>
    <n v="110.4"/>
    <n v="112"/>
    <n v="112.8"/>
    <n v="113.6"/>
    <n v="115.2"/>
    <n v="116.2"/>
    <n v="117"/>
    <n v="119.1"/>
    <n v="120.4"/>
    <n v="121.6"/>
    <n v="122.2"/>
    <n v="122.7"/>
    <n v="123.1"/>
    <n v="124.6"/>
    <n v="124.9"/>
    <n v="125.2"/>
    <n v="125.6"/>
    <n v="125.9"/>
    <n v="126.3"/>
    <n v="126.6"/>
    <n v="127.3"/>
    <n v="127.7"/>
    <n v="128"/>
    <n v="128.30000000000001"/>
    <n v="128.5"/>
    <n v="128.6"/>
    <n v="128.6"/>
    <n v="129.19999999999999"/>
    <n v="129.6"/>
    <n v="129.69999999999999"/>
    <n v="130.19999999999999"/>
    <n v="130.4"/>
    <n v="131"/>
    <n v="131.80000000000001"/>
    <n v="132.19999999999999"/>
    <n v="132.6"/>
    <n v="132.69999999999999"/>
    <n v="132.9"/>
    <n v="133.1"/>
    <n v="133.1"/>
    <n v="133.5"/>
    <n v="134.9"/>
    <n v="136.30000000000001"/>
    <n v="136.80000000000001"/>
    <n v="137.30000000000001"/>
    <n v="137.69999999999999"/>
    <n v="138.30000000000001"/>
    <n v="138.69999999999999"/>
    <n v="139.1"/>
    <n v="139.5"/>
    <n v="139.5"/>
    <n v="139.6"/>
    <n v="139.9"/>
    <n v="139.9"/>
    <n v="140.30000000000001"/>
    <n v="140.69999999999999"/>
    <n v="140.80000000000001"/>
    <n v="141"/>
    <n v="141.19999999999999"/>
    <n v="141.5"/>
    <n v="141.5"/>
    <n v="141.6"/>
    <n v="141.6"/>
    <n v="141.69999999999999"/>
    <n v="141.69999999999999"/>
    <n v="141.9"/>
    <n v="142.4"/>
    <n v="143.4"/>
    <n v="144.1"/>
    <n v="144.9"/>
    <n v="144.9"/>
    <n v="145.6"/>
    <n v="145.9"/>
    <n v="147.5"/>
    <n v="149.30000000000001"/>
    <n v="150.69999999999999"/>
    <n v="151.1"/>
    <n v="155.5"/>
    <s v="NA"/>
    <n v="153.4"/>
    <n v="153.4"/>
    <n v="153.4"/>
    <n v="153.9"/>
    <n v="153.69999999999999"/>
    <n v="153.9"/>
    <n v="154.19999999999999"/>
    <n v="154.4"/>
    <n v="155.1"/>
    <n v="155.6"/>
    <n v="156"/>
    <n v="156.5"/>
    <n v="156.5"/>
    <n v="158.19999999999999"/>
    <n v="159.19999999999999"/>
    <n v="159.1"/>
    <n v="159.19999999999999"/>
    <n v="159.6"/>
    <n v="160"/>
    <n v="160.4"/>
    <n v="160.6"/>
    <n v="162.6"/>
    <n v="164.2"/>
    <n v="165.4"/>
    <n v="166.4"/>
    <n v="167.1"/>
    <n v="168.4"/>
    <n v="170.1"/>
    <n v="171"/>
    <n v="172.3"/>
    <n v="173.9"/>
    <n v="175.2"/>
    <n v="177.9"/>
    <n v="177.9"/>
    <n v="178.8"/>
    <n v="179.4"/>
  </r>
  <r>
    <x v="1"/>
    <x v="0"/>
    <s v="Oils and fats"/>
    <n v="103.4"/>
    <n v="103.5"/>
    <n v="102.7"/>
    <n v="102.1"/>
    <n v="101.5"/>
    <n v="101.3"/>
    <n v="101.1"/>
    <n v="101.1"/>
    <n v="101.7"/>
    <n v="102.3"/>
    <n v="103.2"/>
    <n v="103.4"/>
    <n v="102.9"/>
    <n v="102.5"/>
    <n v="102.8"/>
    <n v="103.1"/>
    <n v="103.5"/>
    <n v="103.4"/>
    <n v="103.5"/>
    <n v="103.6"/>
    <n v="103.5"/>
    <n v="103.5"/>
    <n v="103.2"/>
    <n v="103"/>
    <n v="104.3"/>
    <n v="104.9"/>
    <n v="104.8"/>
    <n v="104.5"/>
    <n v="105.2"/>
    <n v="106"/>
    <n v="106.3"/>
    <n v="106.8"/>
    <n v="107"/>
    <n v="109"/>
    <n v="110"/>
    <n v="110"/>
    <n v="109.7"/>
    <n v="108.4"/>
    <n v="107.9"/>
    <n v="108.9"/>
    <n v="109.6"/>
    <n v="110.2"/>
    <n v="111"/>
    <n v="111.8"/>
    <n v="111.9"/>
    <n v="112.5"/>
    <n v="112.6"/>
    <n v="113.5"/>
    <n v="114"/>
    <n v="114.3"/>
    <n v="114"/>
    <n v="113.5"/>
    <n v="113.4"/>
    <n v="113.5"/>
    <n v="113.4"/>
    <n v="114.1"/>
    <n v="114.5"/>
    <n v="114.9"/>
    <n v="115.2"/>
    <n v="115.9"/>
    <n v="116.4"/>
    <n v="116.2"/>
    <n v="116.5"/>
    <n v="116.6"/>
    <n v="116.4"/>
    <n v="116.6"/>
    <n v="116.7"/>
    <n v="117.4"/>
    <n v="117.8"/>
    <n v="118"/>
    <n v="118.1"/>
    <n v="118.1"/>
    <n v="118.1"/>
    <n v="118.4"/>
    <n v="118.4"/>
    <n v="118.6"/>
    <n v="118.6"/>
    <n v="119.3"/>
    <n v="119.9"/>
    <n v="120.8"/>
    <n v="121.1"/>
    <n v="121.5"/>
    <n v="122.7"/>
    <n v="126.3"/>
    <n v="127.4"/>
    <n v="127.5"/>
    <n v="131.6"/>
    <s v="NA"/>
    <n v="132.9"/>
    <n v="132.9"/>
    <n v="133.4"/>
    <n v="134.4"/>
    <n v="135.69999999999999"/>
    <n v="138"/>
    <n v="140.69999999999999"/>
    <n v="144.1"/>
    <n v="151.4"/>
    <n v="156.4"/>
    <n v="161.4"/>
    <n v="168.8"/>
    <n v="172.2"/>
    <n v="170.6"/>
    <n v="175"/>
    <n v="175"/>
    <n v="176.6"/>
    <n v="175.8"/>
    <n v="173.5"/>
    <n v="171"/>
    <n v="171.5"/>
    <n v="180"/>
    <n v="186"/>
    <n v="189.5"/>
    <n v="188.6"/>
    <n v="184.8"/>
    <n v="182.5"/>
    <n v="179.3"/>
    <n v="177.7"/>
    <n v="180"/>
    <n v="179.1"/>
    <n v="178"/>
    <n v="172.2"/>
    <n v="172.2"/>
    <n v="168.7"/>
    <n v="164.4"/>
  </r>
  <r>
    <x v="1"/>
    <x v="0"/>
    <s v="Fruits"/>
    <n v="102.3"/>
    <n v="103.1"/>
    <n v="104.9"/>
    <n v="109.5"/>
    <n v="110.6"/>
    <n v="112.4"/>
    <n v="113.2"/>
    <n v="108.7"/>
    <n v="103.2"/>
    <n v="106.2"/>
    <n v="110"/>
    <n v="110.7"/>
    <n v="112.1"/>
    <n v="114.1"/>
    <n v="117.7"/>
    <n v="126.7"/>
    <n v="129.19999999999999"/>
    <n v="131.19999999999999"/>
    <n v="133.69999999999999"/>
    <n v="132.69999999999999"/>
    <n v="124.5"/>
    <n v="123.5"/>
    <n v="122.2"/>
    <n v="122.3"/>
    <n v="121.3"/>
    <n v="121.6"/>
    <n v="123.8"/>
    <n v="130.6"/>
    <n v="130.80000000000001"/>
    <n v="132.30000000000001"/>
    <n v="132.80000000000001"/>
    <n v="130.1"/>
    <n v="124"/>
    <n v="124.1"/>
    <n v="123.7"/>
    <n v="120.8"/>
    <n v="119"/>
    <n v="118.6"/>
    <n v="119.9"/>
    <n v="131.1"/>
    <n v="133.5"/>
    <n v="135.5"/>
    <n v="137"/>
    <n v="135.80000000000001"/>
    <n v="132.5"/>
    <n v="130.4"/>
    <n v="130.80000000000001"/>
    <n v="129.30000000000001"/>
    <n v="129.6"/>
    <n v="131.4"/>
    <n v="136.80000000000001"/>
    <n v="137.69999999999999"/>
    <n v="135.19999999999999"/>
    <n v="137.19999999999999"/>
    <n v="139.4"/>
    <n v="142.69999999999999"/>
    <n v="137.5"/>
    <n v="135.6"/>
    <n v="136.4"/>
    <n v="135"/>
    <n v="133.80000000000001"/>
    <n v="135.5"/>
    <n v="138.5"/>
    <n v="150.1"/>
    <n v="151.30000000000001"/>
    <n v="152.19999999999999"/>
    <n v="149.69999999999999"/>
    <n v="146.30000000000001"/>
    <n v="140"/>
    <n v="139.5"/>
    <n v="141.5"/>
    <n v="138.5"/>
    <n v="135.19999999999999"/>
    <n v="137"/>
    <n v="139.4"/>
    <n v="149.69999999999999"/>
    <n v="150.9"/>
    <n v="154.69999999999999"/>
    <n v="153.9"/>
    <n v="149.80000000000001"/>
    <n v="150.6"/>
    <n v="148.80000000000001"/>
    <n v="147.19999999999999"/>
    <n v="144.4"/>
    <n v="143.1"/>
    <n v="143.30000000000001"/>
    <n v="152.9"/>
    <s v="NA"/>
    <n v="151.80000000000001"/>
    <n v="151.80000000000001"/>
    <n v="154.5"/>
    <n v="155.4"/>
    <n v="155.69999999999999"/>
    <n v="150.5"/>
    <n v="149.69999999999999"/>
    <n v="152.6"/>
    <n v="154"/>
    <n v="157.30000000000001"/>
    <n v="168.8"/>
    <n v="172.5"/>
    <n v="171.5"/>
    <n v="170.9"/>
    <n v="161.30000000000001"/>
    <n v="161.19999999999999"/>
    <n v="159.30000000000001"/>
    <n v="160.30000000000001"/>
    <n v="158.30000000000001"/>
    <n v="156.5"/>
    <n v="156.4"/>
    <n v="159.6"/>
    <n v="175.9"/>
    <n v="174.5"/>
    <n v="174.1"/>
    <n v="179.5"/>
    <n v="177.1"/>
    <n v="167.5"/>
    <n v="165.7"/>
    <n v="162.6"/>
    <n v="159.5"/>
    <n v="160.5"/>
    <n v="172.1"/>
    <n v="172.1"/>
    <n v="179.2"/>
    <n v="175.8"/>
  </r>
  <r>
    <x v="1"/>
    <x v="0"/>
    <s v="Vegetables"/>
    <n v="102.9"/>
    <n v="104.9"/>
    <n v="103.8"/>
    <n v="109.7"/>
    <n v="123.7"/>
    <n v="143.6"/>
    <n v="160.9"/>
    <n v="177"/>
    <n v="174.3"/>
    <n v="183.5"/>
    <n v="192.8"/>
    <n v="144.80000000000001"/>
    <n v="118.9"/>
    <n v="111.5"/>
    <n v="113.3"/>
    <n v="121.2"/>
    <n v="127"/>
    <n v="137.5"/>
    <n v="172.4"/>
    <n v="181.9"/>
    <n v="168.6"/>
    <n v="159.6"/>
    <n v="153.19999999999999"/>
    <n v="141"/>
    <n v="134.4"/>
    <n v="131.80000000000001"/>
    <n v="131.4"/>
    <n v="130.80000000000001"/>
    <n v="135.6"/>
    <n v="146.69999999999999"/>
    <n v="153.5"/>
    <n v="165.5"/>
    <n v="168.5"/>
    <n v="165.8"/>
    <n v="164.6"/>
    <n v="149"/>
    <n v="144.1"/>
    <n v="129.19999999999999"/>
    <n v="128.1"/>
    <n v="136.80000000000001"/>
    <n v="151.4"/>
    <n v="173.7"/>
    <n v="179.5"/>
    <n v="163.5"/>
    <n v="152.9"/>
    <n v="155.1"/>
    <n v="142"/>
    <n v="121.1"/>
    <n v="118.7"/>
    <n v="120.2"/>
    <n v="122.2"/>
    <n v="127.1"/>
    <n v="129.19999999999999"/>
    <n v="142.19999999999999"/>
    <n v="175.1"/>
    <n v="179.8"/>
    <n v="160.69999999999999"/>
    <n v="173.2"/>
    <n v="185.2"/>
    <n v="163.19999999999999"/>
    <n v="150.5"/>
    <n v="136.9"/>
    <n v="128"/>
    <n v="127.6"/>
    <n v="131.4"/>
    <n v="144"/>
    <n v="159.19999999999999"/>
    <n v="157.30000000000001"/>
    <n v="151.30000000000001"/>
    <n v="153"/>
    <n v="145.19999999999999"/>
    <n v="132.4"/>
    <n v="130.5"/>
    <n v="131.6"/>
    <n v="141.19999999999999"/>
    <n v="161.6"/>
    <n v="169.8"/>
    <n v="180.1"/>
    <n v="189.1"/>
    <n v="192.4"/>
    <n v="207.2"/>
    <n v="215.7"/>
    <n v="231.5"/>
    <n v="207.8"/>
    <n v="181.7"/>
    <n v="167"/>
    <n v="180"/>
    <s v="NA"/>
    <n v="171.2"/>
    <n v="171.2"/>
    <n v="191.9"/>
    <n v="202"/>
    <n v="226"/>
    <n v="245.3"/>
    <n v="240.9"/>
    <n v="206.8"/>
    <n v="180.2"/>
    <n v="166.1"/>
    <n v="161.6"/>
    <n v="166.5"/>
    <n v="176.2"/>
    <n v="186.4"/>
    <n v="183.3"/>
    <n v="183.5"/>
    <n v="214.4"/>
    <n v="229.1"/>
    <n v="219.5"/>
    <n v="203.6"/>
    <n v="198"/>
    <n v="188.4"/>
    <n v="190.7"/>
    <n v="203.2"/>
    <n v="211.5"/>
    <n v="208.5"/>
    <n v="213.1"/>
    <n v="220.8"/>
    <n v="228.6"/>
    <n v="205.5"/>
    <n v="178.7"/>
    <n v="175.3"/>
    <n v="175.8"/>
    <n v="175.9"/>
    <n v="179.9"/>
    <n v="185"/>
  </r>
  <r>
    <x v="1"/>
    <x v="0"/>
    <s v="Pulses and products"/>
    <n v="105.8"/>
    <n v="104.1"/>
    <n v="103.5"/>
    <n v="104.6"/>
    <n v="105.2"/>
    <n v="105.4"/>
    <n v="105.1"/>
    <n v="104.7"/>
    <n v="105.1"/>
    <n v="105.3"/>
    <n v="106.3"/>
    <n v="107.1"/>
    <n v="107.5"/>
    <n v="108.2"/>
    <n v="108.9"/>
    <n v="111"/>
    <n v="112.6"/>
    <n v="112.8"/>
    <n v="113.1"/>
    <n v="115.2"/>
    <n v="116.9"/>
    <n v="117.4"/>
    <n v="119.3"/>
    <n v="120.1"/>
    <n v="122.9"/>
    <n v="125.1"/>
    <n v="127.2"/>
    <n v="131.30000000000001"/>
    <n v="142.6"/>
    <n v="148.1"/>
    <n v="149.5"/>
    <n v="156"/>
    <n v="165.4"/>
    <n v="187.2"/>
    <n v="191.6"/>
    <n v="190.1"/>
    <n v="184.2"/>
    <n v="176.4"/>
    <n v="170.3"/>
    <n v="176.9"/>
    <n v="182.8"/>
    <n v="184.4"/>
    <n v="188.4"/>
    <n v="182.3"/>
    <n v="173.6"/>
    <n v="175.7"/>
    <n v="174.9"/>
    <n v="170.3"/>
    <n v="155.1"/>
    <n v="143.1"/>
    <n v="135.80000000000001"/>
    <n v="133.80000000000001"/>
    <n v="131.5"/>
    <n v="128.19999999999999"/>
    <n v="124.7"/>
    <n v="123.5"/>
    <n v="124.5"/>
    <n v="124.1"/>
    <n v="122.2"/>
    <n v="119.8"/>
    <n v="118.4"/>
    <n v="117"/>
    <n v="115.5"/>
    <n v="114"/>
    <n v="112.8"/>
    <n v="112.3"/>
    <n v="112.6"/>
    <n v="113.6"/>
    <n v="113.5"/>
    <n v="113.2"/>
    <n v="115.3"/>
    <n v="117.5"/>
    <n v="118.2"/>
    <n v="119.9"/>
    <n v="120.7"/>
    <n v="124.4"/>
    <n v="127.4"/>
    <n v="128.9"/>
    <n v="129.80000000000001"/>
    <n v="130.30000000000001"/>
    <n v="131.19999999999999"/>
    <n v="134.6"/>
    <n v="137.19999999999999"/>
    <n v="139.1"/>
    <n v="139.6"/>
    <n v="139.69999999999999"/>
    <n v="150.80000000000001"/>
    <s v="NA"/>
    <n v="152"/>
    <n v="152"/>
    <n v="151.30000000000001"/>
    <n v="150.80000000000001"/>
    <n v="152.19999999999999"/>
    <n v="158.69999999999999"/>
    <n v="161.5"/>
    <n v="162.1"/>
    <n v="159.80000000000001"/>
    <n v="161.1"/>
    <n v="162.80000000000001"/>
    <n v="165.9"/>
    <n v="166.9"/>
    <n v="164.7"/>
    <n v="164.5"/>
    <n v="164.5"/>
    <n v="165.3"/>
    <n v="165.1"/>
    <n v="164.2"/>
    <n v="163.80000000000001"/>
    <n v="163.19999999999999"/>
    <n v="163.4"/>
    <n v="164"/>
    <n v="164.1"/>
    <n v="163.6"/>
    <n v="164"/>
    <n v="167.3"/>
    <n v="169.2"/>
    <n v="169.9"/>
    <n v="171"/>
    <n v="171.3"/>
    <n v="171.2"/>
    <n v="172.2"/>
    <n v="172.2"/>
    <n v="174.7"/>
    <n v="176.9"/>
  </r>
  <r>
    <x v="1"/>
    <x v="0"/>
    <s v="Sugar and Confectionery"/>
    <n v="105.1"/>
    <n v="103.8"/>
    <n v="102.6"/>
    <n v="102"/>
    <n v="101.9"/>
    <n v="101.4"/>
    <n v="101.3"/>
    <n v="101"/>
    <n v="100.8"/>
    <n v="100.2"/>
    <n v="99.5"/>
    <n v="98.6"/>
    <n v="96.9"/>
    <n v="95.4"/>
    <n v="96.3"/>
    <n v="100.3"/>
    <n v="101.3"/>
    <n v="101.4"/>
    <n v="102.7"/>
    <n v="102.7"/>
    <n v="101.9"/>
    <n v="101.2"/>
    <n v="99.8"/>
    <n v="97.8"/>
    <n v="96.1"/>
    <n v="95"/>
    <n v="93.2"/>
    <n v="91.6"/>
    <n v="90.8"/>
    <n v="89.8"/>
    <n v="85.7"/>
    <n v="85.3"/>
    <n v="86.3"/>
    <n v="89.4"/>
    <n v="90.8"/>
    <n v="92.7"/>
    <n v="96.7"/>
    <n v="99.1"/>
    <n v="101.8"/>
    <n v="109.1"/>
    <n v="111.1"/>
    <n v="112"/>
    <n v="113.3"/>
    <n v="114.6"/>
    <n v="115.1"/>
    <n v="115.4"/>
    <n v="115.6"/>
    <n v="115.5"/>
    <n v="117.3"/>
    <n v="119.5"/>
    <n v="120.3"/>
    <n v="120.8"/>
    <n v="121"/>
    <n v="120.9"/>
    <n v="121.5"/>
    <n v="122.1"/>
    <n v="122.4"/>
    <n v="122.6"/>
    <n v="123.9"/>
    <n v="120.7"/>
    <n v="117.3"/>
    <n v="115.4"/>
    <n v="114.2"/>
    <n v="110.6"/>
    <n v="105.3"/>
    <n v="108.4"/>
    <n v="111.8"/>
    <n v="113.3"/>
    <n v="112.3"/>
    <n v="112.8"/>
    <n v="112.5"/>
    <n v="111"/>
    <n v="110.4"/>
    <n v="110.4"/>
    <n v="110.4"/>
    <n v="111.2"/>
    <n v="111.8"/>
    <n v="111.8"/>
    <n v="112.7"/>
    <n v="114"/>
    <n v="114.8"/>
    <n v="115"/>
    <n v="114.7"/>
    <n v="114.8"/>
    <n v="114.6"/>
    <n v="114.4"/>
    <n v="121.2"/>
    <s v="NA"/>
    <n v="116.3"/>
    <n v="116.3"/>
    <n v="116.8"/>
    <n v="118.9"/>
    <n v="118.1"/>
    <n v="117.2"/>
    <n v="117.1"/>
    <n v="116.3"/>
    <n v="114.9"/>
    <n v="114.3"/>
    <n v="114.8"/>
    <n v="115.9"/>
    <n v="116.1"/>
    <n v="115.7"/>
    <n v="120.4"/>
    <n v="120.4"/>
    <n v="122.5"/>
    <n v="123.1"/>
    <n v="121.9"/>
    <n v="121.3"/>
    <n v="120.6"/>
    <n v="120.3"/>
    <n v="120.5"/>
    <n v="121.2"/>
    <n v="121.4"/>
    <n v="121.5"/>
    <n v="122.2"/>
    <n v="123.1"/>
    <n v="123.4"/>
    <n v="123.4"/>
    <n v="123.1"/>
    <n v="122.7"/>
    <n v="121.9"/>
    <n v="121.9"/>
    <n v="123.1"/>
    <n v="124.2"/>
  </r>
  <r>
    <x v="1"/>
    <x v="0"/>
    <s v="Spices"/>
    <n v="101.8"/>
    <n v="102.3"/>
    <n v="102.4"/>
    <n v="103.5"/>
    <n v="105"/>
    <n v="106.4"/>
    <n v="107.5"/>
    <n v="108.5"/>
    <n v="109.1"/>
    <n v="109.6"/>
    <n v="110.3"/>
    <n v="111.9"/>
    <n v="112.7"/>
    <n v="113.5"/>
    <n v="114.1"/>
    <n v="115.3"/>
    <n v="117"/>
    <n v="118.3"/>
    <n v="120"/>
    <n v="122.1"/>
    <n v="122.9"/>
    <n v="123.8"/>
    <n v="124.6"/>
    <n v="125.4"/>
    <n v="126.6"/>
    <n v="127.7"/>
    <n v="127.4"/>
    <n v="127.7"/>
    <n v="128.80000000000001"/>
    <n v="130.5"/>
    <n v="131.5"/>
    <n v="132.69999999999999"/>
    <n v="134.4"/>
    <n v="135.80000000000001"/>
    <n v="137.1"/>
    <n v="138.6"/>
    <n v="139.5"/>
    <n v="139.69999999999999"/>
    <n v="140.1"/>
    <n v="140.4"/>
    <n v="141.5"/>
    <n v="142.80000000000001"/>
    <n v="143.9"/>
    <n v="144.6"/>
    <n v="144.80000000000001"/>
    <n v="145.30000000000001"/>
    <n v="145.4"/>
    <n v="145.5"/>
    <n v="144.9"/>
    <n v="144"/>
    <n v="142.6"/>
    <n v="141.30000000000001"/>
    <n v="139.9"/>
    <n v="138.80000000000001"/>
    <n v="137.80000000000001"/>
    <n v="137.5"/>
    <n v="137.30000000000001"/>
    <n v="137.80000000000001"/>
    <n v="138.30000000000001"/>
    <n v="139.69999999999999"/>
    <n v="140.5"/>
    <n v="140.69999999999999"/>
    <n v="140.69999999999999"/>
    <n v="140.19999999999999"/>
    <n v="139.6"/>
    <n v="140"/>
    <n v="140.30000000000001"/>
    <n v="141.1"/>
    <n v="141.19999999999999"/>
    <n v="141.1"/>
    <n v="141.4"/>
    <n v="141.5"/>
    <n v="140.4"/>
    <n v="140.80000000000001"/>
    <n v="140.69999999999999"/>
    <n v="141"/>
    <n v="141"/>
    <n v="141.6"/>
    <n v="142.5"/>
    <n v="143.80000000000001"/>
    <n v="145.19999999999999"/>
    <n v="146.30000000000001"/>
    <n v="148"/>
    <n v="149.5"/>
    <n v="150.4"/>
    <n v="151.5"/>
    <n v="154"/>
    <s v="NA"/>
    <n v="158.80000000000001"/>
    <n v="158.80000000000001"/>
    <n v="160"/>
    <n v="160.9"/>
    <n v="161.30000000000001"/>
    <n v="161.4"/>
    <n v="161.9"/>
    <n v="163"/>
    <n v="162.5"/>
    <n v="162.6"/>
    <n v="162.80000000000001"/>
    <n v="165.2"/>
    <n v="165.5"/>
    <n v="165.5"/>
    <n v="166.2"/>
    <n v="166.2"/>
    <n v="166.8"/>
    <n v="167.2"/>
    <n v="168.2"/>
    <n v="169.8"/>
    <n v="172.2"/>
    <n v="174.7"/>
    <n v="178"/>
    <n v="181.4"/>
    <n v="183.5"/>
    <n v="186.3"/>
    <n v="189.7"/>
    <n v="193.6"/>
    <n v="196.4"/>
    <n v="198.8"/>
    <n v="200.5"/>
    <n v="204.3"/>
    <n v="204.8"/>
    <n v="204.8"/>
    <n v="207.8"/>
    <n v="211.9"/>
  </r>
  <r>
    <x v="1"/>
    <x v="0"/>
    <s v="Non-alcoholic beverages"/>
    <n v="105.1"/>
    <n v="106"/>
    <n v="107"/>
    <n v="108.2"/>
    <n v="109.1"/>
    <n v="110"/>
    <n v="110.4"/>
    <n v="110.9"/>
    <n v="111.1"/>
    <n v="111.4"/>
    <n v="111.8"/>
    <n v="112.1"/>
    <n v="112.1"/>
    <n v="112.1"/>
    <n v="112.2"/>
    <n v="112.7"/>
    <n v="112.9"/>
    <n v="113.2"/>
    <n v="113.8"/>
    <n v="114.4"/>
    <n v="114.8"/>
    <n v="115.2"/>
    <n v="115.8"/>
    <n v="116.1"/>
    <n v="116.5"/>
    <n v="116.8"/>
    <n v="117"/>
    <n v="117.2"/>
    <n v="117.7"/>
    <n v="118"/>
    <n v="118.3"/>
    <n v="118.8"/>
    <n v="119.1"/>
    <n v="119.4"/>
    <n v="119.8"/>
    <n v="120.2"/>
    <n v="120.5"/>
    <n v="120.6"/>
    <n v="120.7"/>
    <n v="121.1"/>
    <n v="121.5"/>
    <n v="121.6"/>
    <n v="121.7"/>
    <n v="121.9"/>
    <n v="122.1"/>
    <n v="122.5"/>
    <n v="122.7"/>
    <n v="123.1"/>
    <n v="123.2"/>
    <n v="123.4"/>
    <n v="123.6"/>
    <n v="123.8"/>
    <n v="123.8"/>
    <n v="124.2"/>
    <n v="124.4"/>
    <n v="124.6"/>
    <n v="124.8"/>
    <n v="125.1"/>
    <n v="125.4"/>
    <n v="125.7"/>
    <n v="125.9"/>
    <n v="125.9"/>
    <n v="126.2"/>
    <n v="126.5"/>
    <n v="126.6"/>
    <n v="126.7"/>
    <n v="126.8"/>
    <n v="127.4"/>
    <n v="127.7"/>
    <n v="127.6"/>
    <n v="128"/>
    <n v="128.1"/>
    <n v="128.1"/>
    <n v="128.30000000000001"/>
    <n v="128.5"/>
    <n v="128.9"/>
    <n v="129"/>
    <n v="129.5"/>
    <n v="129.80000000000001"/>
    <n v="130"/>
    <n v="130.19999999999999"/>
    <n v="130.5"/>
    <n v="130.80000000000001"/>
    <n v="131.1"/>
    <n v="131.5"/>
    <n v="131.9"/>
    <n v="133.5"/>
    <s v="NA"/>
    <n v="135.6"/>
    <n v="135.6"/>
    <n v="136.5"/>
    <n v="137.69999999999999"/>
    <n v="139.19999999999999"/>
    <n v="141.5"/>
    <n v="143.30000000000001"/>
    <n v="145.9"/>
    <n v="149.19999999999999"/>
    <n v="150.69999999999999"/>
    <n v="151.5"/>
    <n v="152"/>
    <n v="152.30000000000001"/>
    <n v="153.4"/>
    <n v="154.80000000000001"/>
    <n v="154.80000000000001"/>
    <n v="155.4"/>
    <n v="156.1"/>
    <n v="156.5"/>
    <n v="156.6"/>
    <n v="156.69999999999999"/>
    <n v="157.1"/>
    <n v="157.5"/>
    <n v="158.5"/>
    <n v="159.1"/>
    <n v="159.80000000000001"/>
    <n v="160.5"/>
    <n v="161.1"/>
    <n v="161.6"/>
    <n v="162.1"/>
    <n v="162.80000000000001"/>
    <n v="163.69999999999999"/>
    <n v="164.9"/>
    <n v="164.9"/>
    <n v="165.5"/>
    <n v="165.9"/>
  </r>
  <r>
    <x v="1"/>
    <x v="0"/>
    <s v="Prepared meals, snacks, sweets etc."/>
    <n v="107.9"/>
    <n v="109"/>
    <n v="109.8"/>
    <n v="110.6"/>
    <n v="111.3"/>
    <n v="112.2"/>
    <n v="113.1"/>
    <n v="114.3"/>
    <n v="115.4"/>
    <n v="116"/>
    <n v="117.1"/>
    <n v="118.1"/>
    <n v="119"/>
    <n v="119.9"/>
    <n v="120.5"/>
    <n v="121"/>
    <n v="121.7"/>
    <n v="122.4"/>
    <n v="123.4"/>
    <n v="124.7"/>
    <n v="125.2"/>
    <n v="125.9"/>
    <n v="126.9"/>
    <n v="127.6"/>
    <n v="128"/>
    <n v="128.6"/>
    <n v="129.19999999999999"/>
    <n v="129.5"/>
    <n v="129.9"/>
    <n v="130.5"/>
    <n v="131.1"/>
    <n v="131.69999999999999"/>
    <n v="132.30000000000001"/>
    <n v="132.9"/>
    <n v="133.69999999999999"/>
    <n v="134.19999999999999"/>
    <n v="134.69999999999999"/>
    <n v="135.19999999999999"/>
    <n v="135.4"/>
    <n v="135.9"/>
    <n v="136.30000000000001"/>
    <n v="136.9"/>
    <n v="137.5"/>
    <n v="138.1"/>
    <n v="138.80000000000001"/>
    <n v="139.6"/>
    <n v="140.30000000000001"/>
    <n v="140.9"/>
    <n v="141.6"/>
    <n v="141.9"/>
    <n v="142.4"/>
    <n v="142.6"/>
    <n v="142.9"/>
    <n v="143.1"/>
    <n v="143.69999999999999"/>
    <n v="144.5"/>
    <n v="145"/>
    <n v="145.5"/>
    <n v="146"/>
    <n v="146.30000000000001"/>
    <n v="146.80000000000001"/>
    <n v="147.1"/>
    <n v="147.6"/>
    <n v="148.30000000000001"/>
    <n v="148.69999999999999"/>
    <n v="149"/>
    <n v="149.4"/>
    <n v="150.4"/>
    <n v="151.30000000000001"/>
    <n v="152"/>
    <n v="152.6"/>
    <n v="152.9"/>
    <n v="153.19999999999999"/>
    <n v="153.5"/>
    <n v="153.9"/>
    <n v="154.5"/>
    <n v="155.1"/>
    <n v="155.6"/>
    <n v="156.19999999999999"/>
    <n v="156.4"/>
    <n v="156.80000000000001"/>
    <n v="157.19999999999999"/>
    <n v="157.69999999999999"/>
    <n v="158.5"/>
    <n v="159"/>
    <n v="159.1"/>
    <s v="NA"/>
    <s v="NA"/>
    <n v="161.69999999999999"/>
    <n v="161.69999999999999"/>
    <n v="163.30000000000001"/>
    <n v="164.4"/>
    <n v="164.8"/>
    <n v="165.1"/>
    <n v="166.1"/>
    <n v="167.2"/>
    <n v="169.4"/>
    <n v="170.3"/>
    <n v="171.4"/>
    <n v="171.1"/>
    <n v="173.3"/>
    <n v="173.5"/>
    <n v="175.1"/>
    <n v="175.1"/>
    <n v="175.9"/>
    <n v="176.8"/>
    <n v="178.2"/>
    <n v="179"/>
    <n v="180"/>
    <n v="181.5"/>
    <n v="183.3"/>
    <n v="184.9"/>
    <n v="186.3"/>
    <n v="187.7"/>
    <n v="188.9"/>
    <n v="190.4"/>
    <n v="191.5"/>
    <n v="192.4"/>
    <n v="193.3"/>
    <n v="194.3"/>
    <n v="196.6"/>
    <n v="196.6"/>
    <n v="197"/>
    <n v="197.7"/>
  </r>
  <r>
    <x v="1"/>
    <x v="0"/>
    <s v="Food and beverages"/>
    <n v="105.9"/>
    <n v="107.2"/>
    <n v="107.3"/>
    <n v="108.8"/>
    <n v="111.1"/>
    <n v="115"/>
    <n v="117.5"/>
    <n v="119.6"/>
    <n v="119.2"/>
    <n v="120.8"/>
    <n v="122.9"/>
    <n v="117.8"/>
    <n v="115.5"/>
    <n v="115.2"/>
    <n v="116"/>
    <n v="118.2"/>
    <n v="120"/>
    <n v="122"/>
    <n v="127.1"/>
    <n v="128.9"/>
    <n v="126.7"/>
    <n v="125.8"/>
    <n v="125.4"/>
    <n v="124"/>
    <n v="123.5"/>
    <n v="123.7"/>
    <n v="123.9"/>
    <n v="124.6"/>
    <n v="126.1"/>
    <n v="128.5"/>
    <n v="129.5"/>
    <n v="131.1"/>
    <n v="131.5"/>
    <n v="132.6"/>
    <n v="133.30000000000001"/>
    <n v="131.5"/>
    <n v="131.19999999999999"/>
    <n v="129.1"/>
    <n v="128.9"/>
    <n v="131.80000000000001"/>
    <n v="134.6"/>
    <n v="138.19999999999999"/>
    <n v="139.80000000000001"/>
    <n v="137.6"/>
    <n v="135.69999999999999"/>
    <n v="136.30000000000001"/>
    <n v="135.19999999999999"/>
    <n v="132.80000000000001"/>
    <n v="132"/>
    <n v="132.1"/>
    <n v="132.6"/>
    <n v="133.4"/>
    <n v="133.6"/>
    <n v="135.69999999999999"/>
    <n v="139.80000000000001"/>
    <n v="140.5"/>
    <n v="138"/>
    <n v="139.69999999999999"/>
    <n v="141.5"/>
    <n v="138.80000000000001"/>
    <n v="137.19999999999999"/>
    <n v="135.6"/>
    <n v="134.80000000000001"/>
    <n v="135.69999999999999"/>
    <n v="136.4"/>
    <n v="138.4"/>
    <n v="140.30000000000001"/>
    <n v="140.1"/>
    <n v="138.9"/>
    <n v="139.4"/>
    <n v="139.1"/>
    <n v="137.6"/>
    <n v="137.30000000000001"/>
    <n v="138"/>
    <n v="139.6"/>
    <n v="143.80000000000001"/>
    <n v="145.6"/>
    <n v="147.69999999999999"/>
    <n v="149.1"/>
    <n v="149.5"/>
    <n v="151.9"/>
    <n v="153.6"/>
    <n v="156.30000000000001"/>
    <n v="154.4"/>
    <n v="151.69999999999999"/>
    <n v="150.1"/>
    <n v="153.5"/>
    <s v="NA"/>
    <n v="157"/>
    <n v="157"/>
    <n v="159.9"/>
    <n v="161.30000000000001"/>
    <n v="164.4"/>
    <n v="167"/>
    <n v="167"/>
    <n v="163.4"/>
    <n v="160.80000000000001"/>
    <n v="160.4"/>
    <n v="162"/>
    <n v="164.2"/>
    <n v="166.2"/>
    <n v="167.9"/>
    <n v="167.3"/>
    <n v="167.3"/>
    <n v="171.5"/>
    <n v="173.5"/>
    <n v="172.2"/>
    <n v="170.3"/>
    <n v="170.2"/>
    <n v="171.5"/>
    <n v="174.5"/>
    <n v="177.5"/>
    <n v="179.3"/>
    <n v="179.4"/>
    <n v="180.4"/>
    <n v="181.8"/>
    <n v="183.3"/>
    <n v="181.3"/>
    <n v="178.6"/>
    <n v="179.5"/>
    <n v="180.7"/>
    <n v="180.8"/>
    <n v="182.1"/>
    <n v="183.1"/>
  </r>
  <r>
    <x v="1"/>
    <x v="0"/>
    <s v="Pan, tobacco and intoxicants"/>
    <n v="105.2"/>
    <n v="106"/>
    <n v="106.8"/>
    <n v="108.5"/>
    <n v="109.8"/>
    <n v="110.9"/>
    <n v="111.7"/>
    <n v="112.4"/>
    <n v="112.9"/>
    <n v="113.5"/>
    <n v="114.1"/>
    <n v="115"/>
    <n v="115.7"/>
    <n v="116.2"/>
    <n v="116.7"/>
    <n v="117.6"/>
    <n v="118.3"/>
    <n v="119"/>
    <n v="121"/>
    <n v="123"/>
    <n v="124.3"/>
    <n v="124.3"/>
    <n v="125.8"/>
    <n v="126.4"/>
    <n v="127.4"/>
    <n v="128.1"/>
    <n v="128.80000000000001"/>
    <n v="130.1"/>
    <n v="131.30000000000001"/>
    <n v="132.1"/>
    <n v="133.1"/>
    <n v="134.19999999999999"/>
    <n v="134.69999999999999"/>
    <n v="135.30000000000001"/>
    <n v="137.6"/>
    <n v="138.19999999999999"/>
    <n v="139.5"/>
    <n v="140"/>
    <n v="140.6"/>
    <n v="141.5"/>
    <n v="142.19999999999999"/>
    <n v="142.69999999999999"/>
    <n v="142.9"/>
    <n v="143.6"/>
    <n v="143.9"/>
    <n v="144.30000000000001"/>
    <n v="144.30000000000001"/>
    <n v="145"/>
    <n v="145.6"/>
    <n v="146.30000000000001"/>
    <n v="147.5"/>
    <n v="148"/>
    <n v="148.30000000000001"/>
    <n v="148.6"/>
    <n v="150.5"/>
    <n v="152.1"/>
    <n v="153.6"/>
    <n v="154.6"/>
    <n v="156.19999999999999"/>
    <n v="157"/>
    <n v="157.69999999999999"/>
    <n v="159.30000000000001"/>
    <n v="159.69999999999999"/>
    <n v="159.19999999999999"/>
    <n v="160.30000000000001"/>
    <n v="161"/>
    <n v="161.4"/>
    <n v="162.1"/>
    <n v="163.30000000000001"/>
    <n v="164"/>
    <n v="164.4"/>
    <n v="164.6"/>
    <n v="164.7"/>
    <n v="164.9"/>
    <n v="165.3"/>
    <n v="166.2"/>
    <n v="166.7"/>
    <n v="167.2"/>
    <n v="167.9"/>
    <n v="168.6"/>
    <n v="169.3"/>
    <n v="169.9"/>
    <n v="170.4"/>
    <n v="170.8"/>
    <n v="172"/>
    <n v="173.3"/>
    <s v="NA"/>
    <s v="NA"/>
    <n v="186.7"/>
    <n v="186.7"/>
    <n v="187.2"/>
    <n v="188.7"/>
    <n v="188.7"/>
    <n v="188.8"/>
    <n v="190.2"/>
    <n v="191.8"/>
    <n v="193.3"/>
    <n v="193.5"/>
    <n v="194.4"/>
    <n v="198.2"/>
    <n v="195.6"/>
    <n v="195.5"/>
    <n v="196.5"/>
    <n v="196.5"/>
    <n v="197"/>
    <n v="197"/>
    <n v="196.8"/>
    <n v="196.4"/>
    <n v="196.5"/>
    <n v="197.5"/>
    <n v="197.1"/>
    <n v="197.5"/>
    <n v="198.3"/>
    <n v="198.6"/>
    <n v="198.7"/>
    <n v="199.7"/>
    <n v="200.1"/>
    <n v="200.6"/>
    <n v="201.1"/>
    <n v="201.6"/>
    <n v="202.7"/>
    <n v="202.7"/>
    <n v="203.5"/>
    <n v="204.2"/>
  </r>
  <r>
    <x v="1"/>
    <x v="1"/>
    <s v="Clothing"/>
    <n v="105.9"/>
    <n v="106.6"/>
    <n v="107.2"/>
    <n v="107.9"/>
    <n v="108.5"/>
    <n v="109.2"/>
    <n v="109.8"/>
    <n v="110.6"/>
    <n v="111.4"/>
    <n v="112.5"/>
    <n v="113.5"/>
    <n v="114.2"/>
    <n v="114.8"/>
    <n v="115.3"/>
    <n v="115.8"/>
    <n v="116.3"/>
    <n v="116.8"/>
    <n v="117.4"/>
    <n v="118"/>
    <n v="118.6"/>
    <n v="119.2"/>
    <n v="119.6"/>
    <n v="120.3"/>
    <n v="120.7"/>
    <n v="121"/>
    <n v="121.3"/>
    <n v="121.7"/>
    <n v="122.1"/>
    <n v="122.4"/>
    <n v="123.2"/>
    <n v="123.5"/>
    <n v="123.7"/>
    <n v="124"/>
    <n v="124.4"/>
    <n v="125"/>
    <n v="125.4"/>
    <n v="125.8"/>
    <n v="126.2"/>
    <n v="126.4"/>
    <n v="126.8"/>
    <n v="127.2"/>
    <n v="127.6"/>
    <n v="127.9"/>
    <n v="128.30000000000001"/>
    <n v="128.69999999999999"/>
    <n v="129.1"/>
    <n v="129.6"/>
    <n v="130"/>
    <n v="130.19999999999999"/>
    <n v="130.5"/>
    <n v="130.80000000000001"/>
    <n v="131.19999999999999"/>
    <n v="131.5"/>
    <n v="131.5"/>
    <n v="131.6"/>
    <n v="132.69999999999999"/>
    <n v="133.30000000000001"/>
    <n v="134"/>
    <n v="135"/>
    <n v="135.6"/>
    <n v="136"/>
    <n v="136.30000000000001"/>
    <n v="136.69999999999999"/>
    <n v="137.80000000000001"/>
    <n v="138.6"/>
    <n v="138.9"/>
    <n v="139.6"/>
    <n v="140"/>
    <n v="140.80000000000001"/>
    <n v="141.5"/>
    <n v="142.4"/>
    <n v="142.69999999999999"/>
    <n v="143"/>
    <n v="143.30000000000001"/>
    <n v="143.5"/>
    <n v="144"/>
    <n v="144.30000000000001"/>
    <n v="144.69999999999999"/>
    <n v="145"/>
    <n v="145.30000000000001"/>
    <n v="145.9"/>
    <n v="146.30000000000001"/>
    <n v="146.80000000000001"/>
    <n v="147"/>
    <n v="147.30000000000001"/>
    <n v="147.69999999999999"/>
    <s v="NA"/>
    <s v="NA"/>
    <n v="149.1"/>
    <n v="149.1"/>
    <n v="150"/>
    <n v="150.19999999999999"/>
    <n v="150.5"/>
    <n v="151.1"/>
    <n v="151.9"/>
    <n v="152.5"/>
    <n v="154.19999999999999"/>
    <n v="155.1"/>
    <n v="155.9"/>
    <n v="156.5"/>
    <n v="157.30000000000001"/>
    <n v="157.9"/>
    <n v="159.80000000000001"/>
    <n v="159.80000000000001"/>
    <n v="160.80000000000001"/>
    <n v="162.30000000000001"/>
    <n v="163.30000000000001"/>
    <n v="164.7"/>
    <n v="165.7"/>
    <n v="167.1"/>
    <n v="168.4"/>
    <n v="170"/>
    <n v="171.6"/>
    <n v="172.7"/>
    <n v="173.7"/>
    <n v="175"/>
    <n v="175.5"/>
    <n v="176.7"/>
    <n v="177.7"/>
    <n v="178.7"/>
    <n v="180.3"/>
    <n v="180.2"/>
    <n v="181"/>
    <n v="181.3"/>
  </r>
  <r>
    <x v="1"/>
    <x v="1"/>
    <s v="Footwear"/>
    <n v="105"/>
    <n v="105.5"/>
    <n v="106"/>
    <n v="106.4"/>
    <n v="106.7"/>
    <n v="107.2"/>
    <n v="107.8"/>
    <n v="108.3"/>
    <n v="109"/>
    <n v="109.7"/>
    <n v="110.3"/>
    <n v="110.9"/>
    <n v="111.3"/>
    <n v="111.7"/>
    <n v="112.1"/>
    <n v="112.5"/>
    <n v="112.9"/>
    <n v="113.2"/>
    <n v="113.6"/>
    <n v="114.1"/>
    <n v="114.5"/>
    <n v="114.9"/>
    <n v="115.4"/>
    <n v="115.8"/>
    <n v="116.1"/>
    <n v="116.5"/>
    <n v="116.9"/>
    <n v="117.2"/>
    <n v="117.4"/>
    <n v="117.6"/>
    <n v="117.9"/>
    <n v="118.2"/>
    <n v="118.6"/>
    <n v="118.8"/>
    <n v="119.3"/>
    <n v="119.5"/>
    <n v="119.8"/>
    <n v="120.1"/>
    <n v="120.3"/>
    <n v="120.5"/>
    <n v="120.7"/>
    <n v="121.1"/>
    <n v="121.1"/>
    <n v="121.4"/>
    <n v="121.6"/>
    <n v="121.9"/>
    <n v="122.1"/>
    <n v="122.2"/>
    <n v="122.3"/>
    <n v="122.5"/>
    <n v="122.8"/>
    <n v="123"/>
    <n v="123.2"/>
    <n v="123.2"/>
    <n v="123.7"/>
    <n v="124.3"/>
    <n v="124.6"/>
    <n v="124.9"/>
    <n v="125.4"/>
    <n v="125.6"/>
    <n v="125.9"/>
    <n v="126.1"/>
    <n v="126.7"/>
    <n v="127.4"/>
    <n v="127.9"/>
    <n v="128.69999999999999"/>
    <n v="128.9"/>
    <n v="129"/>
    <n v="129.30000000000001"/>
    <n v="129.80000000000001"/>
    <n v="130.19999999999999"/>
    <n v="130.30000000000001"/>
    <n v="130.4"/>
    <n v="130.80000000000001"/>
    <n v="131.19999999999999"/>
    <n v="131.69999999999999"/>
    <n v="131.69999999999999"/>
    <n v="131.9"/>
    <n v="132.19999999999999"/>
    <n v="132.19999999999999"/>
    <n v="132.4"/>
    <n v="132.6"/>
    <n v="132.80000000000001"/>
    <n v="133.19999999999999"/>
    <n v="133.5"/>
    <n v="133.80000000000001"/>
    <s v="NA"/>
    <s v="NA"/>
    <n v="136.6"/>
    <n v="136.6"/>
    <n v="135.19999999999999"/>
    <n v="136.30000000000001"/>
    <n v="136.1"/>
    <n v="136.4"/>
    <n v="136.69999999999999"/>
    <n v="137.30000000000001"/>
    <n v="138.19999999999999"/>
    <n v="138.69999999999999"/>
    <n v="139.30000000000001"/>
    <n v="140.19999999999999"/>
    <n v="140.5"/>
    <n v="141.9"/>
    <n v="143.6"/>
    <n v="143.6"/>
    <n v="144.4"/>
    <n v="145.30000000000001"/>
    <n v="146.69999999999999"/>
    <n v="148.5"/>
    <n v="150.4"/>
    <n v="152.6"/>
    <n v="154.5"/>
    <n v="155.9"/>
    <n v="157.4"/>
    <n v="158.69999999999999"/>
    <n v="160"/>
    <n v="161.69999999999999"/>
    <n v="162.6"/>
    <n v="163.5"/>
    <n v="164.5"/>
    <n v="165.3"/>
    <n v="167"/>
    <n v="167"/>
    <n v="167.7"/>
    <n v="168.1"/>
  </r>
  <r>
    <x v="1"/>
    <x v="1"/>
    <s v="Clothing and footwear"/>
    <n v="105.8"/>
    <n v="106.4"/>
    <n v="107"/>
    <n v="107.7"/>
    <n v="108.3"/>
    <n v="108.9"/>
    <n v="109.5"/>
    <n v="110.2"/>
    <n v="111.1"/>
    <n v="112"/>
    <n v="113"/>
    <n v="113.7"/>
    <n v="114.3"/>
    <n v="114.7"/>
    <n v="115.2"/>
    <n v="115.7"/>
    <n v="116.2"/>
    <n v="116.7"/>
    <n v="117.4"/>
    <n v="117.9"/>
    <n v="118.4"/>
    <n v="118.9"/>
    <n v="119.5"/>
    <n v="120"/>
    <n v="120.2"/>
    <n v="120.6"/>
    <n v="120.9"/>
    <n v="121.3"/>
    <n v="121.6"/>
    <n v="122.3"/>
    <n v="122.7"/>
    <n v="122.9"/>
    <n v="123.2"/>
    <n v="123.6"/>
    <n v="124.2"/>
    <n v="124.5"/>
    <n v="124.9"/>
    <n v="125.3"/>
    <n v="125.5"/>
    <n v="125.8"/>
    <n v="126.2"/>
    <n v="126.6"/>
    <n v="126.9"/>
    <n v="127.3"/>
    <n v="127.7"/>
    <n v="128"/>
    <n v="128.5"/>
    <n v="128.80000000000001"/>
    <n v="129"/>
    <n v="129.30000000000001"/>
    <n v="129.6"/>
    <n v="130"/>
    <n v="130.19999999999999"/>
    <n v="130.19999999999999"/>
    <n v="130.4"/>
    <n v="131.4"/>
    <n v="132"/>
    <n v="132.6"/>
    <n v="133.5"/>
    <n v="134"/>
    <n v="134.4"/>
    <n v="134.69999999999999"/>
    <n v="135.19999999999999"/>
    <n v="136.19999999999999"/>
    <n v="137"/>
    <n v="137.4"/>
    <n v="137.9"/>
    <n v="138.30000000000001"/>
    <n v="139.1"/>
    <n v="139.69999999999999"/>
    <n v="140.5"/>
    <n v="140.80000000000001"/>
    <n v="141.1"/>
    <n v="141.4"/>
    <n v="141.6"/>
    <n v="142.19999999999999"/>
    <n v="142.4"/>
    <n v="142.69999999999999"/>
    <n v="143"/>
    <n v="143.30000000000001"/>
    <n v="143.9"/>
    <n v="144.19999999999999"/>
    <n v="144.6"/>
    <n v="144.9"/>
    <n v="145.19999999999999"/>
    <n v="145.6"/>
    <s v="NA"/>
    <s v="NA"/>
    <n v="147.19999999999999"/>
    <n v="147.19999999999999"/>
    <n v="147.80000000000001"/>
    <n v="148.1"/>
    <n v="148.30000000000001"/>
    <n v="148.80000000000001"/>
    <n v="149.6"/>
    <n v="150.19999999999999"/>
    <n v="151.80000000000001"/>
    <n v="152.6"/>
    <n v="153.4"/>
    <n v="154.1"/>
    <n v="154.80000000000001"/>
    <n v="155.5"/>
    <n v="157.30000000000001"/>
    <n v="157.4"/>
    <n v="158.30000000000001"/>
    <n v="159.69999999999999"/>
    <n v="160.69999999999999"/>
    <n v="162.19999999999999"/>
    <n v="163.4"/>
    <n v="164.9"/>
    <n v="166.3"/>
    <n v="167.8"/>
    <n v="169.4"/>
    <n v="170.6"/>
    <n v="171.6"/>
    <n v="173"/>
    <n v="173.6"/>
    <n v="174.7"/>
    <n v="175.7"/>
    <n v="176.6"/>
    <n v="178.2"/>
    <n v="178.2"/>
    <n v="178.9"/>
    <n v="179.3"/>
  </r>
  <r>
    <x v="1"/>
    <x v="2"/>
    <s v="Housing"/>
    <n v="100.3"/>
    <n v="100.4"/>
    <n v="100.4"/>
    <n v="100.5"/>
    <n v="100.5"/>
    <n v="106.6"/>
    <n v="107.7"/>
    <n v="108.9"/>
    <n v="109.7"/>
    <n v="110.5"/>
    <n v="111.1"/>
    <n v="110.7"/>
    <n v="111.6"/>
    <n v="112.5"/>
    <n v="113.2"/>
    <n v="113.9"/>
    <n v="114.3"/>
    <n v="113.9"/>
    <n v="114.8"/>
    <n v="115.5"/>
    <n v="116.1"/>
    <n v="116.7"/>
    <n v="117.1"/>
    <n v="116.5"/>
    <n v="117.3"/>
    <n v="118.1"/>
    <n v="118.6"/>
    <n v="119.2"/>
    <n v="119.6"/>
    <n v="119"/>
    <n v="119.9"/>
    <n v="120.9"/>
    <n v="121.6"/>
    <n v="122.4"/>
    <n v="122.9"/>
    <n v="122.4"/>
    <n v="123.4"/>
    <n v="124.4"/>
    <n v="124.9"/>
    <n v="125.6"/>
    <n v="126"/>
    <n v="125.5"/>
    <n v="126.4"/>
    <n v="127.3"/>
    <n v="127.9"/>
    <n v="128.69999999999999"/>
    <n v="129.1"/>
    <n v="128.5"/>
    <n v="129.6"/>
    <n v="130.5"/>
    <n v="131.1"/>
    <n v="131.69999999999999"/>
    <n v="132.1"/>
    <n v="131.4"/>
    <n v="132.6"/>
    <n v="134.4"/>
    <n v="135.69999999999999"/>
    <n v="137.30000000000001"/>
    <n v="138.6"/>
    <n v="139.1"/>
    <n v="140.4"/>
    <n v="141.30000000000001"/>
    <n v="142"/>
    <n v="142.9"/>
    <n v="143.19999999999999"/>
    <n v="142.5"/>
    <n v="143.6"/>
    <n v="144.6"/>
    <n v="145.30000000000001"/>
    <n v="146.30000000000001"/>
    <n v="146.9"/>
    <n v="146.5"/>
    <n v="147.69999999999999"/>
    <n v="148.5"/>
    <n v="149"/>
    <n v="150.1"/>
    <n v="149.4"/>
    <n v="150.6"/>
    <n v="151.6"/>
    <n v="152.19999999999999"/>
    <n v="153"/>
    <n v="153.5"/>
    <n v="152.80000000000001"/>
    <n v="153.9"/>
    <n v="154.80000000000001"/>
    <n v="154.5"/>
    <n v="155.6"/>
    <s v="NA"/>
    <n v="154.69999999999999"/>
    <n v="154.69999999999999"/>
    <n v="155.5"/>
    <n v="156.30000000000001"/>
    <n v="156.5"/>
    <n v="158"/>
    <n v="158.4"/>
    <n v="157.69999999999999"/>
    <n v="159.80000000000001"/>
    <n v="159.9"/>
    <n v="161.4"/>
    <n v="161.6"/>
    <n v="160.5"/>
    <n v="161.5"/>
    <n v="162.1"/>
    <n v="162.1"/>
    <n v="163.6"/>
    <n v="164.2"/>
    <n v="163.4"/>
    <n v="164.5"/>
    <n v="165.5"/>
    <n v="165.3"/>
    <n v="167"/>
    <n v="167.5"/>
    <n v="166.8"/>
    <n v="167.8"/>
    <n v="169"/>
    <n v="169.5"/>
    <n v="171.2"/>
    <n v="171.8"/>
    <n v="170.7"/>
    <n v="172.1"/>
    <n v="173.5"/>
    <n v="173.5"/>
    <n v="175.2"/>
    <n v="175.6"/>
  </r>
  <r>
    <x v="1"/>
    <x v="2"/>
    <s v="Fuel and light"/>
    <n v="105.4"/>
    <n v="105.7"/>
    <n v="106"/>
    <n v="106.4"/>
    <n v="107.2"/>
    <n v="108"/>
    <n v="108.6"/>
    <n v="109.3"/>
    <n v="109.5"/>
    <n v="109.7"/>
    <n v="110"/>
    <n v="110.4"/>
    <n v="111"/>
    <n v="111.1"/>
    <n v="110.9"/>
    <n v="110.9"/>
    <n v="111.1"/>
    <n v="111.2"/>
    <n v="111.6"/>
    <n v="111.8"/>
    <n v="111.8"/>
    <n v="112"/>
    <n v="112.6"/>
    <n v="113"/>
    <n v="113.4"/>
    <n v="114"/>
    <n v="114.4"/>
    <n v="114.7"/>
    <n v="114.9"/>
    <n v="115.1"/>
    <n v="115.3"/>
    <n v="115.3"/>
    <n v="115.1"/>
    <n v="114.9"/>
    <n v="115.1"/>
    <n v="116"/>
    <n v="116.9"/>
    <n v="116"/>
    <n v="114.8"/>
    <n v="114.6"/>
    <n v="115"/>
    <n v="115.5"/>
    <n v="115.5"/>
    <n v="114.7"/>
    <n v="114.8"/>
    <n v="115.2"/>
    <n v="116.2"/>
    <n v="117.8"/>
    <n v="118"/>
    <n v="119.2"/>
    <n v="120.8"/>
    <n v="121.4"/>
    <n v="120.1"/>
    <n v="119"/>
    <n v="119.7"/>
    <n v="118.9"/>
    <n v="120.6"/>
    <n v="122.6"/>
    <n v="125.7"/>
    <n v="126.8"/>
    <n v="127.3"/>
    <n v="127.3"/>
    <n v="126.4"/>
    <n v="124.6"/>
    <n v="124.7"/>
    <n v="126.5"/>
    <n v="128.1"/>
    <n v="129.80000000000001"/>
    <n v="131.19999999999999"/>
    <n v="133.4"/>
    <n v="136.69999999999999"/>
    <n v="132.4"/>
    <n v="128.6"/>
    <n v="127.1"/>
    <n v="128.80000000000001"/>
    <n v="129.4"/>
    <n v="130.5"/>
    <n v="127"/>
    <n v="125.5"/>
    <n v="126.6"/>
    <n v="128.9"/>
    <n v="132.19999999999999"/>
    <n v="133.6"/>
    <n v="135.1"/>
    <n v="138.9"/>
    <n v="141.4"/>
    <n v="137.1"/>
    <s v="NA"/>
    <n v="137.1"/>
    <n v="137.1"/>
    <n v="138.30000000000001"/>
    <n v="137.19999999999999"/>
    <n v="137.1"/>
    <n v="137.30000000000001"/>
    <n v="137.9"/>
    <n v="142.9"/>
    <n v="149.1"/>
    <n v="154.80000000000001"/>
    <n v="154.9"/>
    <n v="155.5"/>
    <n v="156.1"/>
    <n v="157.69999999999999"/>
    <n v="160.69999999999999"/>
    <n v="160.80000000000001"/>
    <n v="162.19999999999999"/>
    <n v="161.6"/>
    <n v="161.69999999999999"/>
    <n v="161.6"/>
    <n v="163"/>
    <n v="164.5"/>
    <n v="170.5"/>
    <n v="173.5"/>
    <n v="174.9"/>
    <n v="179.5"/>
    <n v="178.4"/>
    <n v="179.2"/>
    <n v="180"/>
    <n v="180.3"/>
    <n v="180.6"/>
    <n v="180.1"/>
    <n v="182.8"/>
    <n v="182.6"/>
    <n v="182.1"/>
    <n v="183.4"/>
  </r>
  <r>
    <x v="1"/>
    <x v="2"/>
    <s v="Household goods and services"/>
    <n v="104.8"/>
    <n v="105.2"/>
    <n v="105.7"/>
    <n v="106.5"/>
    <n v="107.1"/>
    <n v="107.7"/>
    <n v="108.1"/>
    <n v="108.7"/>
    <n v="109.6"/>
    <n v="110.2"/>
    <n v="110.9"/>
    <n v="111.3"/>
    <n v="111.9"/>
    <n v="112.6"/>
    <n v="113"/>
    <n v="113.4"/>
    <n v="114.1"/>
    <n v="114.3"/>
    <n v="114.9"/>
    <n v="115.3"/>
    <n v="115.5"/>
    <n v="115.8"/>
    <n v="116.4"/>
    <n v="116.8"/>
    <n v="117.2"/>
    <n v="117.7"/>
    <n v="118"/>
    <n v="118.4"/>
    <n v="118.7"/>
    <n v="119.2"/>
    <n v="119.5"/>
    <n v="120"/>
    <n v="120.4"/>
    <n v="120.7"/>
    <n v="121"/>
    <n v="121"/>
    <n v="121.6"/>
    <n v="121.8"/>
    <n v="122.3"/>
    <n v="122.8"/>
    <n v="123.2"/>
    <n v="123.2"/>
    <n v="123.5"/>
    <n v="123.9"/>
    <n v="124.3"/>
    <n v="124.5"/>
    <n v="124.7"/>
    <n v="125"/>
    <n v="125.1"/>
    <n v="125.3"/>
    <n v="125.6"/>
    <n v="126"/>
    <n v="126.5"/>
    <n v="126.8"/>
    <n v="127.2"/>
    <n v="127.7"/>
    <n v="128.1"/>
    <n v="128.30000000000001"/>
    <n v="128.80000000000001"/>
    <n v="129.30000000000001"/>
    <n v="129.5"/>
    <n v="129.9"/>
    <n v="130.80000000000001"/>
    <n v="131.80000000000001"/>
    <n v="132.5"/>
    <n v="133.1"/>
    <n v="133.6"/>
    <n v="134.4"/>
    <n v="134.9"/>
    <n v="135.1"/>
    <n v="135.80000000000001"/>
    <n v="136.19999999999999"/>
    <n v="136.30000000000001"/>
    <n v="136.6"/>
    <n v="136.80000000000001"/>
    <n v="137.19999999999999"/>
    <n v="137.4"/>
    <n v="137.69999999999999"/>
    <n v="138.1"/>
    <n v="138.30000000000001"/>
    <n v="138.69999999999999"/>
    <n v="139.1"/>
    <n v="139.80000000000001"/>
    <n v="140.1"/>
    <n v="140.4"/>
    <n v="140.80000000000001"/>
    <s v="NA"/>
    <s v="NA"/>
    <n v="140.4"/>
    <n v="140.4"/>
    <n v="144.5"/>
    <n v="145.4"/>
    <n v="145.1"/>
    <n v="145.1"/>
    <n v="145.5"/>
    <n v="145.69999999999999"/>
    <n v="146.5"/>
    <n v="147.19999999999999"/>
    <n v="147.6"/>
    <n v="150.1"/>
    <n v="149.80000000000001"/>
    <n v="150.69999999999999"/>
    <n v="153.19999999999999"/>
    <n v="153.30000000000001"/>
    <n v="154.30000000000001"/>
    <n v="155.19999999999999"/>
    <n v="156"/>
    <n v="156.80000000000001"/>
    <n v="157.4"/>
    <n v="158.6"/>
    <n v="159.80000000000001"/>
    <n v="161.1"/>
    <n v="162.1"/>
    <n v="163.1"/>
    <n v="164.2"/>
    <n v="165"/>
    <n v="166"/>
    <n v="166.9"/>
    <n v="167.3"/>
    <n v="168"/>
    <n v="169.2"/>
    <n v="169.2"/>
    <n v="169.6"/>
    <n v="170.1"/>
  </r>
  <r>
    <x v="1"/>
    <x v="3"/>
    <s v="Health"/>
    <n v="104.1"/>
    <n v="104.7"/>
    <n v="105.2"/>
    <n v="105.7"/>
    <n v="106.2"/>
    <n v="106.5"/>
    <n v="107.1"/>
    <n v="107.6"/>
    <n v="107.9"/>
    <n v="108.2"/>
    <n v="108.6"/>
    <n v="109"/>
    <n v="109.7"/>
    <n v="110.4"/>
    <n v="110.8"/>
    <n v="111"/>
    <n v="111.2"/>
    <n v="111.4"/>
    <n v="111.5"/>
    <n v="112.2"/>
    <n v="112.3"/>
    <n v="112.6"/>
    <n v="113"/>
    <n v="113.2"/>
    <n v="113.7"/>
    <n v="114.1"/>
    <n v="114.3"/>
    <n v="114.6"/>
    <n v="114.9"/>
    <n v="115.4"/>
    <n v="116"/>
    <n v="116.6"/>
    <n v="117.1"/>
    <n v="117.7"/>
    <n v="118.1"/>
    <n v="118.6"/>
    <n v="119.1"/>
    <n v="119.5"/>
    <n v="119.7"/>
    <n v="120"/>
    <n v="120.3"/>
    <n v="120.6"/>
    <n v="120.9"/>
    <n v="121.2"/>
    <n v="121.4"/>
    <n v="121.8"/>
    <n v="122.1"/>
    <n v="122.3"/>
    <n v="122.6"/>
    <n v="122.9"/>
    <n v="123.1"/>
    <n v="123.4"/>
    <n v="123.6"/>
    <n v="123.8"/>
    <n v="125"/>
    <n v="125.7"/>
    <n v="126.1"/>
    <n v="126.6"/>
    <n v="127.4"/>
    <n v="128.19999999999999"/>
    <n v="129"/>
    <n v="129.80000000000001"/>
    <n v="130.5"/>
    <n v="131.30000000000001"/>
    <n v="132"/>
    <n v="132.6"/>
    <n v="133.6"/>
    <n v="134.9"/>
    <n v="135.69999999999999"/>
    <n v="136.19999999999999"/>
    <n v="136.80000000000001"/>
    <n v="137.30000000000001"/>
    <n v="137.80000000000001"/>
    <n v="138.5"/>
    <n v="139.19999999999999"/>
    <n v="139.80000000000001"/>
    <n v="140.30000000000001"/>
    <n v="140.80000000000001"/>
    <n v="141.5"/>
    <n v="141.9"/>
    <n v="142.4"/>
    <n v="142.80000000000001"/>
    <n v="143.19999999999999"/>
    <n v="143.80000000000001"/>
    <n v="144.4"/>
    <n v="145"/>
    <n v="144.80000000000001"/>
    <s v="NA"/>
    <n v="148.1"/>
    <n v="148.1"/>
    <n v="148.69999999999999"/>
    <n v="150"/>
    <n v="151"/>
    <n v="152"/>
    <n v="152.9"/>
    <n v="154.1"/>
    <n v="156.30000000000001"/>
    <n v="156.9"/>
    <n v="157.5"/>
    <n v="160.4"/>
    <n v="160.80000000000001"/>
    <n v="161.5"/>
    <n v="162.80000000000001"/>
    <n v="162.80000000000001"/>
    <n v="163.5"/>
    <n v="164.2"/>
    <n v="165.1"/>
    <n v="166.1"/>
    <n v="167.2"/>
    <n v="168.2"/>
    <n v="169"/>
    <n v="170.1"/>
    <n v="170.9"/>
    <n v="171.7"/>
    <n v="172.6"/>
    <n v="173.8"/>
    <n v="174.7"/>
    <n v="175.8"/>
    <n v="177.2"/>
    <n v="178.5"/>
    <n v="180.8"/>
    <n v="180.8"/>
    <n v="181.5"/>
    <n v="182.2"/>
  </r>
  <r>
    <x v="1"/>
    <x v="4"/>
    <s v="Transport and communication"/>
    <n v="103.2"/>
    <n v="104.4"/>
    <n v="105.5"/>
    <n v="105"/>
    <n v="103.9"/>
    <n v="105.2"/>
    <n v="107.3"/>
    <n v="108.1"/>
    <n v="110.4"/>
    <n v="109.7"/>
    <n v="109.5"/>
    <n v="109.7"/>
    <n v="110.8"/>
    <n v="111.3"/>
    <n v="111.6"/>
    <n v="111.2"/>
    <n v="111.3"/>
    <n v="111.5"/>
    <n v="113"/>
    <n v="112.5"/>
    <n v="111.2"/>
    <n v="111"/>
    <n v="109.7"/>
    <n v="108.8"/>
    <n v="107.9"/>
    <n v="106.8"/>
    <n v="108.4"/>
    <n v="108.4"/>
    <n v="110.8"/>
    <n v="111.7"/>
    <n v="111.5"/>
    <n v="109.9"/>
    <n v="109.1"/>
    <n v="109.3"/>
    <n v="109.3"/>
    <n v="109.3"/>
    <n v="108.9"/>
    <n v="109.1"/>
    <n v="108.5"/>
    <n v="110"/>
    <n v="110.7"/>
    <n v="112.3"/>
    <n v="111.7"/>
    <n v="110.4"/>
    <n v="111.8"/>
    <n v="112.8"/>
    <n v="113.4"/>
    <n v="113.7"/>
    <n v="115.2"/>
    <n v="115.5"/>
    <n v="115.6"/>
    <n v="114.3"/>
    <n v="114.3"/>
    <n v="113.9"/>
    <n v="113.2"/>
    <n v="114.6"/>
    <n v="115.7"/>
    <n v="115"/>
    <n v="115.3"/>
    <n v="115.3"/>
    <n v="116.3"/>
    <n v="117.4"/>
    <n v="117.8"/>
    <n v="118.9"/>
    <n v="119.8"/>
    <n v="120.4"/>
    <n v="120.1"/>
    <n v="120.7"/>
    <n v="122.5"/>
    <n v="123.3"/>
    <n v="121.2"/>
    <n v="118.8"/>
    <n v="118.6"/>
    <n v="119.2"/>
    <n v="119.9"/>
    <n v="120.1"/>
    <n v="119.6"/>
    <n v="120.6"/>
    <n v="120.8"/>
    <n v="121.2"/>
    <n v="121.5"/>
    <n v="121.7"/>
    <n v="125.2"/>
    <n v="126.1"/>
    <n v="125.2"/>
    <n v="124.6"/>
    <s v="NA"/>
    <s v="NA"/>
    <n v="129.30000000000001"/>
    <n v="129.30000000000001"/>
    <n v="133.9"/>
    <n v="135.1"/>
    <n v="135.4"/>
    <n v="135.19999999999999"/>
    <n v="135.5"/>
    <n v="136.9"/>
    <n v="140.5"/>
    <n v="141.69999999999999"/>
    <n v="142.1"/>
    <n v="145"/>
    <n v="147.5"/>
    <n v="149.5"/>
    <n v="150.4"/>
    <n v="150.5"/>
    <n v="152.19999999999999"/>
    <n v="151.19999999999999"/>
    <n v="151.80000000000001"/>
    <n v="152.69999999999999"/>
    <n v="153.1"/>
    <n v="154.19999999999999"/>
    <n v="159.30000000000001"/>
    <n v="159.4"/>
    <n v="157.19999999999999"/>
    <n v="157.4"/>
    <n v="157.69999999999999"/>
    <n v="158.19999999999999"/>
    <n v="158.80000000000001"/>
    <n v="158.9"/>
    <n v="159.4"/>
    <n v="159.5"/>
    <n v="159.80000000000001"/>
    <n v="159.80000000000001"/>
    <n v="160.1"/>
    <n v="160.4"/>
  </r>
  <r>
    <x v="1"/>
    <x v="5"/>
    <s v="Recreation and amusement"/>
    <n v="102.9"/>
    <n v="103.3"/>
    <n v="103.5"/>
    <n v="104"/>
    <n v="104.6"/>
    <n v="105.2"/>
    <n v="105.9"/>
    <n v="106.5"/>
    <n v="107.4"/>
    <n v="108"/>
    <n v="108.5"/>
    <n v="108.9"/>
    <n v="109.8"/>
    <n v="110.3"/>
    <n v="110.9"/>
    <n v="111.2"/>
    <n v="111.5"/>
    <n v="111.8"/>
    <n v="112.4"/>
    <n v="112.9"/>
    <n v="113.4"/>
    <n v="113.6"/>
    <n v="114"/>
    <n v="114.3"/>
    <n v="114.6"/>
    <n v="114.9"/>
    <n v="115.4"/>
    <n v="115.6"/>
    <n v="116"/>
    <n v="116.2"/>
    <n v="116.6"/>
    <n v="117.2"/>
    <n v="117.3"/>
    <n v="117.7"/>
    <n v="117.9"/>
    <n v="118.1"/>
    <n v="118.5"/>
    <n v="118.8"/>
    <n v="119.1"/>
    <n v="119.5"/>
    <n v="119.8"/>
    <n v="119.9"/>
    <n v="120.3"/>
    <n v="120.6"/>
    <n v="120.8"/>
    <n v="121.2"/>
    <n v="121.7"/>
    <n v="121.8"/>
    <n v="122"/>
    <n v="122.2"/>
    <n v="122.4"/>
    <n v="122.6"/>
    <n v="122.8"/>
    <n v="122.9"/>
    <n v="123.5"/>
    <n v="124.1"/>
    <n v="124.5"/>
    <n v="124.8"/>
    <n v="125.1"/>
    <n v="125.6"/>
    <n v="126.2"/>
    <n v="126.5"/>
    <n v="126.8"/>
    <n v="127.6"/>
    <n v="128"/>
    <n v="128.5"/>
    <n v="129"/>
    <n v="129.80000000000001"/>
    <n v="130.19999999999999"/>
    <n v="130.69999999999999"/>
    <n v="131.30000000000001"/>
    <n v="131.69999999999999"/>
    <n v="131.9"/>
    <n v="132.19999999999999"/>
    <n v="133"/>
    <n v="134"/>
    <n v="134.30000000000001"/>
    <n v="135"/>
    <n v="135.4"/>
    <n v="135.9"/>
    <n v="136.19999999999999"/>
    <n v="136.69999999999999"/>
    <n v="136.80000000000001"/>
    <n v="137.19999999999999"/>
    <n v="137.69999999999999"/>
    <n v="137.9"/>
    <s v="NA"/>
    <s v="NA"/>
    <n v="144.5"/>
    <n v="144.5"/>
    <n v="141.19999999999999"/>
    <n v="141.80000000000001"/>
    <n v="142"/>
    <n v="144.4"/>
    <n v="144.30000000000001"/>
    <n v="145.4"/>
    <n v="147.30000000000001"/>
    <n v="148.6"/>
    <n v="149.1"/>
    <n v="152.6"/>
    <n v="150.69999999999999"/>
    <n v="151.19999999999999"/>
    <n v="153.69999999999999"/>
    <n v="153.9"/>
    <n v="155.1"/>
    <n v="156.69999999999999"/>
    <n v="157.6"/>
    <n v="158.4"/>
    <n v="159.5"/>
    <n v="160.80000000000001"/>
    <n v="162.19999999999999"/>
    <n v="163.19999999999999"/>
    <n v="164.1"/>
    <n v="164.6"/>
    <n v="165.1"/>
    <n v="165.8"/>
    <n v="166.3"/>
    <n v="166.7"/>
    <n v="167.1"/>
    <n v="167.8"/>
    <n v="168.4"/>
    <n v="168.4"/>
    <n v="168.8"/>
    <n v="169.2"/>
  </r>
  <r>
    <x v="1"/>
    <x v="6"/>
    <s v="Education"/>
    <n v="103.5"/>
    <n v="103.7"/>
    <n v="103.8"/>
    <n v="105.2"/>
    <n v="105.7"/>
    <n v="108.1"/>
    <n v="110.1"/>
    <n v="110.8"/>
    <n v="111.2"/>
    <n v="111.3"/>
    <n v="111.3"/>
    <n v="111.4"/>
    <n v="111.5"/>
    <n v="111.6"/>
    <n v="111.8"/>
    <n v="112.5"/>
    <n v="112.9"/>
    <n v="115.1"/>
    <n v="117.8"/>
    <n v="119.2"/>
    <n v="120"/>
    <n v="120.2"/>
    <n v="120.3"/>
    <n v="120.7"/>
    <n v="120.8"/>
    <n v="120.4"/>
    <n v="120.6"/>
    <n v="121.7"/>
    <n v="122"/>
    <n v="123.8"/>
    <n v="125.4"/>
    <n v="126.2"/>
    <n v="126.5"/>
    <n v="126.5"/>
    <n v="126.6"/>
    <n v="126.6"/>
    <n v="126.4"/>
    <n v="126.3"/>
    <n v="126.4"/>
    <n v="127.6"/>
    <n v="128"/>
    <n v="129.30000000000001"/>
    <n v="130.80000000000001"/>
    <n v="131.5"/>
    <n v="131.6"/>
    <n v="131.9"/>
    <n v="132.1"/>
    <n v="132.30000000000001"/>
    <n v="132.4"/>
    <n v="132.4"/>
    <n v="132.80000000000001"/>
    <n v="133.6"/>
    <n v="133.80000000000001"/>
    <n v="134.30000000000001"/>
    <n v="135.5"/>
    <n v="135.69999999999999"/>
    <n v="135.9"/>
    <n v="136.30000000000001"/>
    <n v="136.6"/>
    <n v="136.69999999999999"/>
    <n v="137.1"/>
    <n v="137.19999999999999"/>
    <n v="137.80000000000001"/>
    <n v="139.69999999999999"/>
    <n v="140.4"/>
    <n v="141.19999999999999"/>
    <n v="144"/>
    <n v="145.30000000000001"/>
    <n v="145.19999999999999"/>
    <n v="145.5"/>
    <n v="146.1"/>
    <n v="146.5"/>
    <n v="146.6"/>
    <n v="146.6"/>
    <n v="146.69999999999999"/>
    <n v="148"/>
    <n v="148.9"/>
    <n v="150.4"/>
    <n v="151.5"/>
    <n v="151.6"/>
    <n v="151.69999999999999"/>
    <n v="151.80000000000001"/>
    <n v="151.9"/>
    <n v="152.1"/>
    <n v="152.19999999999999"/>
    <n v="152.5"/>
    <s v="NA"/>
    <s v="NA"/>
    <n v="152.5"/>
    <n v="152.5"/>
    <n v="155.5"/>
    <n v="154.9"/>
    <n v="155.69999999999999"/>
    <n v="156.4"/>
    <n v="156.9"/>
    <n v="156.1"/>
    <n v="156.6"/>
    <n v="157.6"/>
    <n v="157.6"/>
    <n v="156.6"/>
    <n v="158.1"/>
    <n v="160.30000000000001"/>
    <n v="160.4"/>
    <n v="160.30000000000001"/>
    <n v="160.30000000000001"/>
    <n v="160.80000000000001"/>
    <n v="160.6"/>
    <n v="161"/>
    <n v="162"/>
    <n v="162.69999999999999"/>
    <n v="164"/>
    <n v="165.2"/>
    <n v="166.5"/>
    <n v="169.1"/>
    <n v="169.9"/>
    <n v="170.9"/>
    <n v="171.2"/>
    <n v="171.5"/>
    <n v="171.8"/>
    <n v="171.8"/>
    <n v="172.5"/>
    <n v="172.5"/>
    <n v="174.2"/>
    <n v="174.8"/>
  </r>
  <r>
    <x v="1"/>
    <x v="3"/>
    <s v="Personal care and effects"/>
    <n v="104.3"/>
    <n v="104.3"/>
    <n v="104.2"/>
    <n v="103.2"/>
    <n v="102.6"/>
    <n v="103.3"/>
    <n v="103.2"/>
    <n v="106"/>
    <n v="106.9"/>
    <n v="107.3"/>
    <n v="107.9"/>
    <n v="107.7"/>
    <n v="108"/>
    <n v="108.7"/>
    <n v="109.2"/>
    <n v="109.1"/>
    <n v="109.3"/>
    <n v="108.7"/>
    <n v="109.7"/>
    <n v="110.5"/>
    <n v="110"/>
    <n v="110.1"/>
    <n v="109.6"/>
    <n v="110.4"/>
    <n v="111.4"/>
    <n v="111.7"/>
    <n v="111.3"/>
    <n v="111.8"/>
    <n v="112.4"/>
    <n v="112.5"/>
    <n v="111.7"/>
    <n v="112"/>
    <n v="112.9"/>
    <n v="113.5"/>
    <n v="113.3"/>
    <n v="113.2"/>
    <n v="114"/>
    <n v="116.2"/>
    <n v="117.1"/>
    <n v="117.6"/>
    <n v="118.5"/>
    <n v="118.8"/>
    <n v="120"/>
    <n v="120.9"/>
    <n v="121.2"/>
    <n v="120.8"/>
    <n v="121.3"/>
    <n v="119.9"/>
    <n v="120.9"/>
    <n v="121.7"/>
    <n v="121.7"/>
    <n v="122.2"/>
    <n v="122"/>
    <n v="122.5"/>
    <n v="122.4"/>
    <n v="123.3"/>
    <n v="124.4"/>
    <n v="124.6"/>
    <n v="124.9"/>
    <n v="124.6"/>
    <n v="125.5"/>
    <n v="126.2"/>
    <n v="126.7"/>
    <n v="127.6"/>
    <n v="128.1"/>
    <n v="128.19999999999999"/>
    <n v="128.19999999999999"/>
    <n v="128.30000000000001"/>
    <n v="129.30000000000001"/>
    <n v="130.4"/>
    <n v="130.5"/>
    <n v="130.80000000000001"/>
    <n v="131.69999999999999"/>
    <n v="133"/>
    <n v="132.5"/>
    <n v="132.6"/>
    <n v="133.69999999999999"/>
    <n v="135.1"/>
    <n v="137.80000000000001"/>
    <n v="139"/>
    <n v="139.5"/>
    <n v="139.80000000000001"/>
    <n v="140.19999999999999"/>
    <n v="142.1"/>
    <n v="143.5"/>
    <n v="145.30000000000001"/>
    <s v="NA"/>
    <s v="NA"/>
    <n v="152.19999999999999"/>
    <n v="152.19999999999999"/>
    <n v="155.19999999999999"/>
    <n v="159.80000000000001"/>
    <n v="158.1"/>
    <n v="157.9"/>
    <n v="157.9"/>
    <n v="157.69999999999999"/>
    <n v="156.69999999999999"/>
    <n v="154.9"/>
    <n v="156.6"/>
    <n v="157.5"/>
    <n v="158"/>
    <n v="159.6"/>
    <n v="159.6"/>
    <n v="159.6"/>
    <n v="160.30000000000001"/>
    <n v="161.80000000000001"/>
    <n v="162.4"/>
    <n v="162.80000000000001"/>
    <n v="164.2"/>
    <n v="166.8"/>
    <n v="168.4"/>
    <n v="168.2"/>
    <n v="169.2"/>
    <n v="169.8"/>
    <n v="171.4"/>
    <n v="171.1"/>
    <n v="172.3"/>
    <n v="173.8"/>
    <n v="176"/>
    <n v="178.8"/>
    <n v="181.4"/>
    <n v="181.5"/>
    <n v="184.4"/>
    <n v="185.6"/>
  </r>
  <r>
    <x v="1"/>
    <x v="7"/>
    <s v="Miscellaneous"/>
    <n v="103.7"/>
    <n v="104.3"/>
    <n v="104.9"/>
    <n v="105.1"/>
    <n v="104.9"/>
    <n v="106.1"/>
    <n v="107.3"/>
    <n v="108.3"/>
    <n v="109.4"/>
    <n v="109.4"/>
    <n v="109.6"/>
    <n v="109.8"/>
    <n v="110.5"/>
    <n v="111"/>
    <n v="111.4"/>
    <n v="111.4"/>
    <n v="111.7"/>
    <n v="112.2"/>
    <n v="113.5"/>
    <n v="113.9"/>
    <n v="113.6"/>
    <n v="113.7"/>
    <n v="113.4"/>
    <n v="113.4"/>
    <n v="113.4"/>
    <n v="113.2"/>
    <n v="113.8"/>
    <n v="114.2"/>
    <n v="115.2"/>
    <n v="116"/>
    <n v="116.3"/>
    <n v="116.2"/>
    <n v="116.2"/>
    <n v="116.5"/>
    <n v="116.6"/>
    <n v="116.7"/>
    <n v="116.8"/>
    <n v="117.2"/>
    <n v="117.3"/>
    <n v="118.2"/>
    <n v="118.7"/>
    <n v="119.6"/>
    <n v="119.9"/>
    <n v="119.9"/>
    <n v="120.5"/>
    <n v="120.9"/>
    <n v="121.3"/>
    <n v="121.4"/>
    <n v="122.1"/>
    <n v="122.4"/>
    <n v="122.6"/>
    <n v="122.5"/>
    <n v="122.6"/>
    <n v="122.7"/>
    <n v="123"/>
    <n v="123.8"/>
    <n v="124.5"/>
    <n v="124.5"/>
    <n v="124.9"/>
    <n v="125.1"/>
    <n v="125.8"/>
    <n v="126.5"/>
    <n v="127.1"/>
    <n v="128.19999999999999"/>
    <n v="128.9"/>
    <n v="129.5"/>
    <n v="130.19999999999999"/>
    <n v="131"/>
    <n v="131.9"/>
    <n v="132.5"/>
    <n v="132.19999999999999"/>
    <n v="131.69999999999999"/>
    <n v="131.80000000000001"/>
    <n v="132.4"/>
    <n v="132.80000000000001"/>
    <n v="133.30000000000001"/>
    <n v="133.6"/>
    <n v="134.5"/>
    <n v="135.30000000000001"/>
    <n v="135.69999999999999"/>
    <n v="136"/>
    <n v="136.30000000000001"/>
    <n v="137.69999999999999"/>
    <n v="138.4"/>
    <n v="138.4"/>
    <n v="138.69999999999999"/>
    <s v="NA"/>
    <s v="NA"/>
    <n v="142"/>
    <n v="142"/>
    <n v="144.80000000000001"/>
    <n v="146"/>
    <n v="146.19999999999999"/>
    <n v="146.6"/>
    <n v="146.9"/>
    <n v="147.6"/>
    <n v="149.30000000000001"/>
    <n v="150"/>
    <n v="150.5"/>
    <n v="152.30000000000001"/>
    <n v="153.4"/>
    <n v="155"/>
    <n v="156"/>
    <n v="156"/>
    <n v="157"/>
    <n v="157.30000000000001"/>
    <n v="157.80000000000001"/>
    <n v="158.6"/>
    <n v="159.4"/>
    <n v="160.6"/>
    <n v="163.1"/>
    <n v="163.80000000000001"/>
    <n v="163.80000000000001"/>
    <n v="164.7"/>
    <n v="165.4"/>
    <n v="166.1"/>
    <n v="166.8"/>
    <n v="167.4"/>
    <n v="168.2"/>
    <n v="168.9"/>
    <n v="170"/>
    <n v="170"/>
    <n v="170.9"/>
    <n v="171.6"/>
  </r>
  <r>
    <x v="1"/>
    <x v="8"/>
    <s v="General index"/>
    <n v="104"/>
    <n v="104.7"/>
    <n v="105"/>
    <n v="105.7"/>
    <n v="106.6"/>
    <n v="109.7"/>
    <n v="111.4"/>
    <n v="112.7"/>
    <n v="113.2"/>
    <n v="114"/>
    <n v="115"/>
    <n v="113.3"/>
    <n v="112.9"/>
    <n v="113.1"/>
    <n v="113.7"/>
    <n v="114.7"/>
    <n v="115.6"/>
    <n v="116.4"/>
    <n v="118.9"/>
    <n v="119.9"/>
    <n v="119.2"/>
    <n v="119.1"/>
    <n v="119"/>
    <n v="118.4"/>
    <n v="118.5"/>
    <n v="118.7"/>
    <n v="119.1"/>
    <n v="119.7"/>
    <n v="120.7"/>
    <n v="121.7"/>
    <n v="122.4"/>
    <n v="123.2"/>
    <n v="123.5"/>
    <n v="124.2"/>
    <n v="124.6"/>
    <n v="124"/>
    <n v="124.2"/>
    <n v="123.8"/>
    <n v="123.8"/>
    <n v="125.3"/>
    <n v="126.6"/>
    <n v="128.1"/>
    <n v="129"/>
    <n v="128.4"/>
    <n v="128"/>
    <n v="128.6"/>
    <n v="128.5"/>
    <n v="127.6"/>
    <n v="127.8"/>
    <n v="128.19999999999999"/>
    <n v="128.69999999999999"/>
    <n v="129.1"/>
    <n v="129.30000000000001"/>
    <n v="129.9"/>
    <n v="131.80000000000001"/>
    <n v="132.69999999999999"/>
    <n v="132.4"/>
    <n v="133.5"/>
    <n v="134.80000000000001"/>
    <n v="134.1"/>
    <n v="134.1"/>
    <n v="134"/>
    <n v="134"/>
    <n v="134.80000000000001"/>
    <n v="135.4"/>
    <n v="136.19999999999999"/>
    <n v="137.5"/>
    <n v="138"/>
    <n v="138.1"/>
    <n v="138.9"/>
    <n v="139"/>
    <n v="138"/>
    <n v="138"/>
    <n v="138.6"/>
    <n v="139.5"/>
    <n v="141.5"/>
    <n v="142.1"/>
    <n v="143.30000000000001"/>
    <n v="144.19999999999999"/>
    <n v="144.69999999999999"/>
    <n v="146"/>
    <n v="147"/>
    <n v="148.30000000000001"/>
    <n v="148.19999999999999"/>
    <n v="147.69999999999999"/>
    <n v="147.30000000000001"/>
    <s v="NA"/>
    <s v="NA"/>
    <n v="150.80000000000001"/>
    <n v="150.80000000000001"/>
    <n v="152.9"/>
    <n v="154"/>
    <n v="155.19999999999999"/>
    <n v="156.69999999999999"/>
    <n v="156.9"/>
    <n v="156"/>
    <n v="156.5"/>
    <n v="156.9"/>
    <n v="158"/>
    <n v="159.5"/>
    <n v="160.4"/>
    <n v="161.80000000000001"/>
    <n v="162.30000000000001"/>
    <n v="162.30000000000001"/>
    <n v="164.6"/>
    <n v="165.6"/>
    <n v="165.2"/>
    <n v="165"/>
    <n v="165.5"/>
    <n v="166.5"/>
    <n v="169.2"/>
    <n v="170.8"/>
    <n v="171.4"/>
    <n v="172.3"/>
    <n v="173.1"/>
    <n v="174.1"/>
    <n v="175.3"/>
    <n v="174.1"/>
    <n v="174.1"/>
    <n v="174.9"/>
    <n v="176.3"/>
    <n v="176.3"/>
    <n v="177.4"/>
    <n v="178.2"/>
  </r>
  <r>
    <x v="2"/>
    <x v="0"/>
    <s v="Cereals and products"/>
    <n v="108.4"/>
    <n v="110.4"/>
    <n v="111.4"/>
    <n v="111.6"/>
    <n v="112.3"/>
    <n v="113.8"/>
    <n v="114.8"/>
    <n v="115.6"/>
    <n v="116.4"/>
    <n v="117.1"/>
    <n v="118.1"/>
    <n v="119.1"/>
    <n v="119.6"/>
    <n v="120.2"/>
    <n v="120.7"/>
    <n v="120.9"/>
    <n v="121.1"/>
    <n v="121.5"/>
    <n v="122.4"/>
    <n v="122.7"/>
    <n v="122.9"/>
    <n v="123.2"/>
    <n v="123.3"/>
    <n v="122.9"/>
    <n v="123.4"/>
    <n v="123.7"/>
    <n v="123.5"/>
    <n v="123.5"/>
    <n v="123.6"/>
    <n v="123.9"/>
    <n v="123.7"/>
    <n v="124.2"/>
    <n v="124.6"/>
    <n v="125"/>
    <n v="125.4"/>
    <n v="125.7"/>
    <n v="126.1"/>
    <n v="126.4"/>
    <n v="126.5"/>
    <n v="126.6"/>
    <n v="126.8"/>
    <n v="127.7"/>
    <n v="128.5"/>
    <n v="129.30000000000001"/>
    <n v="129.9"/>
    <n v="130.5"/>
    <n v="131.4"/>
    <n v="132.30000000000001"/>
    <n v="132.80000000000001"/>
    <n v="133.1"/>
    <n v="133.30000000000001"/>
    <n v="133"/>
    <n v="132.9"/>
    <n v="133.30000000000001"/>
    <n v="133.6"/>
    <n v="134.30000000000001"/>
    <n v="134.69999999999999"/>
    <n v="135.30000000000001"/>
    <n v="135.69999999999999"/>
    <n v="135.80000000000001"/>
    <n v="136"/>
    <n v="135.9"/>
    <n v="136.19999999999999"/>
    <n v="136.4"/>
    <n v="136.6"/>
    <n v="136.9"/>
    <n v="137.5"/>
    <n v="138.30000000000001"/>
    <n v="138.6"/>
    <n v="137.4"/>
    <n v="137.4"/>
    <n v="137.5"/>
    <n v="137.1"/>
    <n v="137.6"/>
    <n v="137.80000000000001"/>
    <n v="138.30000000000001"/>
    <n v="138.69999999999999"/>
    <n v="139.30000000000001"/>
    <n v="140.1"/>
    <n v="140.9"/>
    <n v="141.80000000000001"/>
    <n v="142.5"/>
    <n v="143.5"/>
    <n v="144.30000000000001"/>
    <n v="144.80000000000001"/>
    <n v="145.1"/>
    <n v="148.69999999999999"/>
    <s v="NA"/>
    <n v="149.6"/>
    <n v="149.6"/>
    <n v="148.9"/>
    <n v="148.4"/>
    <n v="147.5"/>
    <n v="146.80000000000001"/>
    <n v="146"/>
    <n v="144.9"/>
    <n v="144.30000000000001"/>
    <n v="144.1"/>
    <n v="144.30000000000001"/>
    <n v="146.30000000000001"/>
    <n v="146.69999999999999"/>
    <n v="146.4"/>
    <n v="146.6"/>
    <n v="146.6"/>
    <n v="147.4"/>
    <n v="148.19999999999999"/>
    <n v="148.69999999999999"/>
    <n v="149.5"/>
    <n v="150"/>
    <n v="151.30000000000001"/>
    <n v="152.9"/>
    <n v="154.1"/>
    <n v="155"/>
    <n v="156.5"/>
    <n v="160.30000000000001"/>
    <n v="163.5"/>
    <n v="165.2"/>
    <n v="167.4"/>
    <n v="169.2"/>
    <n v="173.8"/>
    <n v="174.4"/>
    <n v="174.4"/>
    <n v="173.8"/>
    <n v="173.7"/>
  </r>
  <r>
    <x v="2"/>
    <x v="0"/>
    <s v="Meat and fish"/>
    <n v="107.3"/>
    <n v="110.2"/>
    <n v="109.7"/>
    <n v="110.9"/>
    <n v="111.3"/>
    <n v="114.9"/>
    <n v="116.4"/>
    <n v="117.2"/>
    <n v="116.9"/>
    <n v="116.3"/>
    <n v="115.4"/>
    <n v="116.7"/>
    <n v="118.8"/>
    <n v="119.2"/>
    <n v="119.3"/>
    <n v="119.9"/>
    <n v="121.6"/>
    <n v="123.1"/>
    <n v="123.9"/>
    <n v="124.4"/>
    <n v="123.5"/>
    <n v="123.8"/>
    <n v="123.7"/>
    <n v="123.2"/>
    <n v="123.9"/>
    <n v="125.1"/>
    <n v="125.4"/>
    <n v="126.4"/>
    <n v="128"/>
    <n v="131.80000000000001"/>
    <n v="132.5"/>
    <n v="131.4"/>
    <n v="130.4"/>
    <n v="129.80000000000001"/>
    <n v="130.30000000000001"/>
    <n v="131.4"/>
    <n v="134.1"/>
    <n v="134.19999999999999"/>
    <n v="135.1"/>
    <n v="136.80000000000001"/>
    <n v="139.1"/>
    <n v="140.5"/>
    <n v="141.19999999999999"/>
    <n v="139.30000000000001"/>
    <n v="138"/>
    <n v="137.9"/>
    <n v="137.80000000000001"/>
    <n v="137.6"/>
    <n v="138.19999999999999"/>
    <n v="138.80000000000001"/>
    <n v="139"/>
    <n v="139.4"/>
    <n v="141.6"/>
    <n v="145.5"/>
    <n v="145.69999999999999"/>
    <n v="143.4"/>
    <n v="142.4"/>
    <n v="142.19999999999999"/>
    <n v="142.4"/>
    <n v="143.30000000000001"/>
    <n v="144.19999999999999"/>
    <n v="143.5"/>
    <n v="143.6"/>
    <n v="144.4"/>
    <n v="146.6"/>
    <n v="148.69999999999999"/>
    <n v="149.1"/>
    <n v="148"/>
    <n v="145.80000000000001"/>
    <n v="149.5"/>
    <n v="149.19999999999999"/>
    <n v="150.5"/>
    <n v="151.4"/>
    <n v="152"/>
    <n v="153"/>
    <n v="158.5"/>
    <n v="162.1"/>
    <n v="162.69999999999999"/>
    <n v="160.6"/>
    <n v="160.80000000000001"/>
    <n v="161"/>
    <n v="163.19999999999999"/>
    <n v="165"/>
    <n v="167.4"/>
    <n v="167.5"/>
    <n v="167"/>
    <s v="NA"/>
    <s v="NA"/>
    <n v="192.7"/>
    <n v="192.7"/>
    <n v="190.9"/>
    <n v="187.1"/>
    <n v="188.9"/>
    <n v="191"/>
    <n v="191"/>
    <n v="190.1"/>
    <n v="186.5"/>
    <n v="192.2"/>
    <n v="198"/>
    <n v="200.5"/>
    <n v="202"/>
    <n v="206.8"/>
    <n v="204"/>
    <n v="204"/>
    <n v="204.6"/>
    <n v="201.6"/>
    <n v="198.8"/>
    <n v="198.7"/>
    <n v="200.6"/>
    <n v="210.7"/>
    <n v="211.8"/>
    <n v="217"/>
    <n v="219.4"/>
    <n v="213"/>
    <n v="206.5"/>
    <n v="209.2"/>
    <n v="210.9"/>
    <n v="209.4"/>
    <n v="209"/>
    <n v="210.7"/>
    <n v="207.7"/>
    <n v="207.7"/>
    <n v="209.3"/>
    <n v="214.3"/>
  </r>
  <r>
    <x v="2"/>
    <x v="0"/>
    <s v="Egg"/>
    <n v="110"/>
    <n v="112.8"/>
    <n v="111.2"/>
    <n v="106.6"/>
    <n v="104.7"/>
    <n v="109.8"/>
    <n v="111.9"/>
    <n v="111.7"/>
    <n v="112.3"/>
    <n v="113.3"/>
    <n v="118.7"/>
    <n v="123.5"/>
    <n v="124.1"/>
    <n v="122.5"/>
    <n v="121"/>
    <n v="116.2"/>
    <n v="115.9"/>
    <n v="115.8"/>
    <n v="117.8"/>
    <n v="117.3"/>
    <n v="117.3"/>
    <n v="118.1"/>
    <n v="121"/>
    <n v="123.5"/>
    <n v="123.8"/>
    <n v="121.1"/>
    <n v="116.8"/>
    <n v="114.4"/>
    <n v="115"/>
    <n v="121.6"/>
    <n v="121"/>
    <n v="120.1"/>
    <n v="118.7"/>
    <n v="118.9"/>
    <n v="121.6"/>
    <n v="124.8"/>
    <n v="128.6"/>
    <n v="128.69999999999999"/>
    <n v="124.6"/>
    <n v="122"/>
    <n v="125.4"/>
    <n v="128.30000000000001"/>
    <n v="132.30000000000001"/>
    <n v="131.6"/>
    <n v="130.5"/>
    <n v="130.19999999999999"/>
    <n v="132"/>
    <n v="132.9"/>
    <n v="132.19999999999999"/>
    <n v="129.30000000000001"/>
    <n v="128.6"/>
    <n v="126.1"/>
    <n v="126.3"/>
    <n v="128.1"/>
    <n v="129.6"/>
    <n v="129.30000000000001"/>
    <n v="130.19999999999999"/>
    <n v="131.19999999999999"/>
    <n v="142.9"/>
    <n v="145.19999999999999"/>
    <n v="143.69999999999999"/>
    <n v="140.30000000000001"/>
    <n v="138.30000000000001"/>
    <n v="133.9"/>
    <n v="133.6"/>
    <n v="135.6"/>
    <n v="139.19999999999999"/>
    <n v="138.1"/>
    <n v="135.1"/>
    <n v="137.30000000000001"/>
    <n v="137.1"/>
    <n v="138.80000000000001"/>
    <n v="140.19999999999999"/>
    <n v="141.5"/>
    <n v="140.30000000000001"/>
    <n v="136"/>
    <n v="137.80000000000001"/>
    <n v="140"/>
    <n v="138.5"/>
    <n v="139.6"/>
    <n v="142.6"/>
    <n v="145.6"/>
    <n v="151.1"/>
    <n v="154.9"/>
    <n v="151.80000000000001"/>
    <n v="148.1"/>
    <n v="148.80000000000001"/>
    <s v="NA"/>
    <n v="151.4"/>
    <n v="151.4"/>
    <n v="150.80000000000001"/>
    <n v="152.5"/>
    <n v="161.4"/>
    <n v="173.6"/>
    <n v="175.3"/>
    <n v="175.3"/>
    <n v="168.7"/>
    <n v="163.80000000000001"/>
    <n v="164.6"/>
    <n v="170.3"/>
    <n v="180.7"/>
    <n v="182.2"/>
    <n v="172.8"/>
    <n v="172.8"/>
    <n v="171.2"/>
    <n v="173"/>
    <n v="177.9"/>
    <n v="178.8"/>
    <n v="175.8"/>
    <n v="167.8"/>
    <n v="164.5"/>
    <n v="162.4"/>
    <n v="170.8"/>
    <n v="175.2"/>
    <n v="169.2"/>
    <n v="169.7"/>
    <n v="170.9"/>
    <n v="181.4"/>
    <n v="190.2"/>
    <n v="194.5"/>
    <n v="175.2"/>
    <n v="175.2"/>
    <n v="169.6"/>
    <n v="173.2"/>
  </r>
  <r>
    <x v="2"/>
    <x v="0"/>
    <s v="Milk and products"/>
    <n v="104.4"/>
    <n v="104.9"/>
    <n v="105.1"/>
    <n v="105.7"/>
    <n v="106.8"/>
    <n v="107.9"/>
    <n v="108.9"/>
    <n v="109.6"/>
    <n v="110.5"/>
    <n v="111.2"/>
    <n v="112.5"/>
    <n v="113.4"/>
    <n v="114.1"/>
    <n v="115.1"/>
    <n v="116.1"/>
    <n v="117"/>
    <n v="118.4"/>
    <n v="119.7"/>
    <n v="121"/>
    <n v="122"/>
    <n v="122.7"/>
    <n v="123.2"/>
    <n v="124.2"/>
    <n v="124.5"/>
    <n v="125"/>
    <n v="125.7"/>
    <n v="126"/>
    <n v="126.6"/>
    <n v="127.3"/>
    <n v="128.19999999999999"/>
    <n v="128.30000000000001"/>
    <n v="128.5"/>
    <n v="128.9"/>
    <n v="129.1"/>
    <n v="129.19999999999999"/>
    <n v="129.4"/>
    <n v="129.9"/>
    <n v="130.30000000000001"/>
    <n v="130.19999999999999"/>
    <n v="130.9"/>
    <n v="131.69999999999999"/>
    <n v="132.6"/>
    <n v="133.5"/>
    <n v="134.1"/>
    <n v="134.4"/>
    <n v="134.80000000000001"/>
    <n v="135"/>
    <n v="135.1"/>
    <n v="135.4"/>
    <n v="135.80000000000001"/>
    <n v="136.30000000000001"/>
    <n v="137.19999999999999"/>
    <n v="137.69999999999999"/>
    <n v="138.1"/>
    <n v="138.5"/>
    <n v="139"/>
    <n v="139.6"/>
    <n v="140.6"/>
    <n v="140.80000000000001"/>
    <n v="141"/>
    <n v="141.1"/>
    <n v="140.9"/>
    <n v="141.19999999999999"/>
    <n v="141.6"/>
    <n v="142.1"/>
    <n v="142.30000000000001"/>
    <n v="142.5"/>
    <n v="142.6"/>
    <n v="142.9"/>
    <n v="141.9"/>
    <n v="141.80000000000001"/>
    <n v="142.1"/>
    <n v="142.1"/>
    <n v="142.19999999999999"/>
    <n v="142.30000000000001"/>
    <n v="142.5"/>
    <n v="143.30000000000001"/>
    <n v="144"/>
    <n v="144.69999999999999"/>
    <n v="145.4"/>
    <n v="146.19999999999999"/>
    <n v="146.69999999999999"/>
    <n v="148.30000000000001"/>
    <n v="150.1"/>
    <n v="150.80000000000001"/>
    <n v="151.5"/>
    <n v="155.6"/>
    <s v="NA"/>
    <n v="153.30000000000001"/>
    <n v="153.30000000000001"/>
    <n v="153.30000000000001"/>
    <n v="153.6"/>
    <n v="153.6"/>
    <n v="153.80000000000001"/>
    <n v="154.1"/>
    <n v="154.1"/>
    <n v="154.69999999999999"/>
    <n v="154.9"/>
    <n v="155.4"/>
    <n v="156.1"/>
    <n v="156.19999999999999"/>
    <n v="157.5"/>
    <n v="158.4"/>
    <n v="158.4"/>
    <n v="158.69999999999999"/>
    <n v="159.30000000000001"/>
    <n v="159.9"/>
    <n v="160.5"/>
    <n v="160.69999999999999"/>
    <n v="162.19999999999999"/>
    <n v="163.9"/>
    <n v="164.9"/>
    <n v="165.8"/>
    <n v="166.6"/>
    <n v="168.1"/>
    <n v="169.7"/>
    <n v="170.9"/>
    <n v="172.3"/>
    <n v="173.6"/>
    <n v="174.6"/>
    <n v="177.3"/>
    <n v="177.3"/>
    <n v="178.4"/>
    <n v="179.5"/>
  </r>
  <r>
    <x v="2"/>
    <x v="0"/>
    <s v="Oils and fats"/>
    <n v="105.1"/>
    <n v="105.5"/>
    <n v="104.9"/>
    <n v="104.4"/>
    <n v="103.9"/>
    <n v="104.2"/>
    <n v="104.3"/>
    <n v="104.5"/>
    <n v="105.3"/>
    <n v="105.7"/>
    <n v="106.8"/>
    <n v="107.3"/>
    <n v="106.8"/>
    <n v="106.6"/>
    <n v="106.9"/>
    <n v="107.3"/>
    <n v="107.7"/>
    <n v="107.8"/>
    <n v="107.9"/>
    <n v="108"/>
    <n v="107.9"/>
    <n v="107.9"/>
    <n v="107.8"/>
    <n v="107.6"/>
    <n v="108.5"/>
    <n v="109.1"/>
    <n v="109.2"/>
    <n v="109.2"/>
    <n v="109.8"/>
    <n v="111.1"/>
    <n v="110.9"/>
    <n v="111.4"/>
    <n v="111.9"/>
    <n v="113.3"/>
    <n v="114.9"/>
    <n v="115.3"/>
    <n v="115.5"/>
    <n v="114.8"/>
    <n v="114.5"/>
    <n v="114.8"/>
    <n v="115"/>
    <n v="115.5"/>
    <n v="116.4"/>
    <n v="116.9"/>
    <n v="117.2"/>
    <n v="117.8"/>
    <n v="118"/>
    <n v="118.6"/>
    <n v="119.1"/>
    <n v="119.2"/>
    <n v="118.8"/>
    <n v="118.4"/>
    <n v="118.1"/>
    <n v="118.2"/>
    <n v="118.1"/>
    <n v="118.1"/>
    <n v="118.4"/>
    <n v="119"/>
    <n v="119.2"/>
    <n v="120.5"/>
    <n v="120.7"/>
    <n v="120.4"/>
    <n v="120.7"/>
    <n v="121"/>
    <n v="121"/>
    <n v="121.3"/>
    <n v="121.4"/>
    <n v="122.2"/>
    <n v="122.1"/>
    <n v="121.1"/>
    <n v="121.1"/>
    <n v="122"/>
    <n v="121.8"/>
    <n v="122"/>
    <n v="122"/>
    <n v="122"/>
    <n v="122.2"/>
    <n v="122.5"/>
    <n v="122.9"/>
    <n v="123.5"/>
    <n v="123.9"/>
    <n v="124.3"/>
    <n v="125.7"/>
    <n v="129.9"/>
    <n v="131.4"/>
    <n v="131.19999999999999"/>
    <n v="135.1"/>
    <s v="NA"/>
    <n v="136.30000000000001"/>
    <n v="136.30000000000001"/>
    <n v="137.4"/>
    <n v="138.19999999999999"/>
    <n v="140.1"/>
    <n v="142.69999999999999"/>
    <n v="146.6"/>
    <n v="150.9"/>
    <n v="158.69999999999999"/>
    <n v="163.9"/>
    <n v="170.1"/>
    <n v="178.7"/>
    <n v="183.7"/>
    <n v="182.1"/>
    <n v="188"/>
    <n v="188"/>
    <n v="190.6"/>
    <n v="190.1"/>
    <n v="187.6"/>
    <n v="184.7"/>
    <n v="184.9"/>
    <n v="194.6"/>
    <n v="199.5"/>
    <n v="202.4"/>
    <n v="200.9"/>
    <n v="195.8"/>
    <n v="192.4"/>
    <n v="188.7"/>
    <n v="186.5"/>
    <n v="188.9"/>
    <n v="188.5"/>
    <n v="187.2"/>
    <n v="179.3"/>
    <n v="179.2"/>
    <n v="174.9"/>
    <n v="170"/>
  </r>
  <r>
    <x v="2"/>
    <x v="0"/>
    <s v="Fruits"/>
    <n v="103.2"/>
    <n v="103.6"/>
    <n v="105.3"/>
    <n v="108.9"/>
    <n v="109.3"/>
    <n v="110.7"/>
    <n v="111.7"/>
    <n v="109.8"/>
    <n v="107.3"/>
    <n v="109.9"/>
    <n v="113.5"/>
    <n v="113.3"/>
    <n v="113.9"/>
    <n v="115.4"/>
    <n v="118.7"/>
    <n v="126.1"/>
    <n v="127.7"/>
    <n v="128.30000000000001"/>
    <n v="131.19999999999999"/>
    <n v="131.1"/>
    <n v="127.3"/>
    <n v="126.4"/>
    <n v="125.7"/>
    <n v="125.7"/>
    <n v="126.2"/>
    <n v="125.8"/>
    <n v="127.6"/>
    <n v="132.5"/>
    <n v="132.6"/>
    <n v="132.80000000000001"/>
    <n v="133.1"/>
    <n v="132.30000000000001"/>
    <n v="128.4"/>
    <n v="129"/>
    <n v="128.19999999999999"/>
    <n v="126.6"/>
    <n v="125.7"/>
    <n v="124.9"/>
    <n v="126.2"/>
    <n v="134.80000000000001"/>
    <n v="136"/>
    <n v="136.5"/>
    <n v="137.80000000000001"/>
    <n v="138.1"/>
    <n v="136.1"/>
    <n v="134.69999999999999"/>
    <n v="134.1"/>
    <n v="132.69999999999999"/>
    <n v="133"/>
    <n v="135.30000000000001"/>
    <n v="138.30000000000001"/>
    <n v="139.9"/>
    <n v="137.9"/>
    <n v="139.19999999999999"/>
    <n v="141.80000000000001"/>
    <n v="145.5"/>
    <n v="143"/>
    <n v="141.5"/>
    <n v="142.19999999999999"/>
    <n v="141.5"/>
    <n v="141.30000000000001"/>
    <n v="142.9"/>
    <n v="146.19999999999999"/>
    <n v="153.5"/>
    <n v="154.6"/>
    <n v="153.19999999999999"/>
    <n v="151.6"/>
    <n v="150.6"/>
    <n v="145.4"/>
    <n v="142.5"/>
    <n v="142.80000000000001"/>
    <n v="139.4"/>
    <n v="135.4"/>
    <n v="136.4"/>
    <n v="137.6"/>
    <n v="146.5"/>
    <n v="146.80000000000001"/>
    <n v="150.30000000000001"/>
    <n v="149.4"/>
    <n v="146.6"/>
    <n v="148"/>
    <n v="147.4"/>
    <n v="145.69999999999999"/>
    <n v="143.19999999999999"/>
    <n v="141.80000000000001"/>
    <n v="142.5"/>
    <n v="149.9"/>
    <s v="NA"/>
    <n v="147.19999999999999"/>
    <n v="147.19999999999999"/>
    <n v="150.4"/>
    <n v="150.9"/>
    <n v="151.19999999999999"/>
    <n v="148.4"/>
    <n v="147.69999999999999"/>
    <n v="149.6"/>
    <n v="150.69999999999999"/>
    <n v="153.69999999999999"/>
    <n v="164.4"/>
    <n v="167.1"/>
    <n v="164.6"/>
    <n v="163.9"/>
    <n v="156.80000000000001"/>
    <n v="156.69999999999999"/>
    <n v="155.69999999999999"/>
    <n v="156.5"/>
    <n v="154.9"/>
    <n v="153.69999999999999"/>
    <n v="153.69999999999999"/>
    <n v="157.6"/>
    <n v="172.6"/>
    <n v="171"/>
    <n v="169.7"/>
    <n v="174.2"/>
    <n v="172.9"/>
    <n v="165.7"/>
    <n v="163.80000000000001"/>
    <n v="160.69999999999999"/>
    <n v="158"/>
    <n v="158.30000000000001"/>
    <n v="169.5"/>
    <n v="169.5"/>
    <n v="176.3"/>
    <n v="172.2"/>
  </r>
  <r>
    <x v="2"/>
    <x v="0"/>
    <s v="Vegetables"/>
    <n v="102.2"/>
    <n v="103.2"/>
    <n v="102.2"/>
    <n v="105.5"/>
    <n v="112.9"/>
    <n v="126.7"/>
    <n v="140"/>
    <n v="151.80000000000001"/>
    <n v="160.9"/>
    <n v="171.2"/>
    <n v="183.1"/>
    <n v="145.4"/>
    <n v="122.2"/>
    <n v="114.5"/>
    <n v="116.3"/>
    <n v="120.7"/>
    <n v="125"/>
    <n v="132.1"/>
    <n v="157.69999999999999"/>
    <n v="168.2"/>
    <n v="162.1"/>
    <n v="156.80000000000001"/>
    <n v="152.4"/>
    <n v="140.5"/>
    <n v="133"/>
    <n v="129.4"/>
    <n v="129.19999999999999"/>
    <n v="128.6"/>
    <n v="130.9"/>
    <n v="139.1"/>
    <n v="145.1"/>
    <n v="157.6"/>
    <n v="162.19999999999999"/>
    <n v="160.4"/>
    <n v="158.4"/>
    <n v="146.69999999999999"/>
    <n v="141.5"/>
    <n v="130.30000000000001"/>
    <n v="129.80000000000001"/>
    <n v="135"/>
    <n v="145.1"/>
    <n v="159.69999999999999"/>
    <n v="165.4"/>
    <n v="159.1"/>
    <n v="150.69999999999999"/>
    <n v="151.19999999999999"/>
    <n v="141.9"/>
    <n v="125.3"/>
    <n v="119.4"/>
    <n v="119.5"/>
    <n v="120.5"/>
    <n v="123.4"/>
    <n v="125.6"/>
    <n v="133.30000000000001"/>
    <n v="159.5"/>
    <n v="168.6"/>
    <n v="156.6"/>
    <n v="162.6"/>
    <n v="173.8"/>
    <n v="161.69999999999999"/>
    <n v="151.6"/>
    <n v="140.5"/>
    <n v="134.6"/>
    <n v="132.6"/>
    <n v="135.6"/>
    <n v="143.69999999999999"/>
    <n v="155.9"/>
    <n v="156.6"/>
    <n v="150"/>
    <n v="146.69999999999999"/>
    <n v="146.69999999999999"/>
    <n v="135.19999999999999"/>
    <n v="131.30000000000001"/>
    <n v="129.69999999999999"/>
    <n v="132.6"/>
    <n v="143"/>
    <n v="150.5"/>
    <n v="160.30000000000001"/>
    <n v="167.4"/>
    <n v="173.2"/>
    <n v="188.4"/>
    <n v="199.6"/>
    <n v="217"/>
    <n v="197"/>
    <n v="170.7"/>
    <n v="157.30000000000001"/>
    <n v="168.6"/>
    <s v="NA"/>
    <n v="156.5"/>
    <n v="156.5"/>
    <n v="178.1"/>
    <n v="186.7"/>
    <n v="209.2"/>
    <n v="230"/>
    <n v="230.5"/>
    <n v="194.2"/>
    <n v="160"/>
    <n v="149.5"/>
    <n v="144.1"/>
    <n v="147.9"/>
    <n v="155.4"/>
    <n v="164.2"/>
    <n v="162.19999999999999"/>
    <n v="162.30000000000001"/>
    <n v="185.3"/>
    <n v="199.2"/>
    <n v="188.3"/>
    <n v="174.3"/>
    <n v="169.7"/>
    <n v="166.9"/>
    <n v="166.2"/>
    <n v="174.9"/>
    <n v="182.3"/>
    <n v="182.1"/>
    <n v="186.7"/>
    <n v="191.8"/>
    <n v="199.7"/>
    <n v="183.1"/>
    <n v="159.9"/>
    <n v="153.9"/>
    <n v="152.69999999999999"/>
    <n v="152.80000000000001"/>
    <n v="155.4"/>
    <n v="161"/>
  </r>
  <r>
    <x v="2"/>
    <x v="0"/>
    <s v="Pulses and products"/>
    <n v="106"/>
    <n v="105.3"/>
    <n v="105"/>
    <n v="105.3"/>
    <n v="105.8"/>
    <n v="106.3"/>
    <n v="106.4"/>
    <n v="106.5"/>
    <n v="107.1"/>
    <n v="107.3"/>
    <n v="108.2"/>
    <n v="108.7"/>
    <n v="108.9"/>
    <n v="109.3"/>
    <n v="109.8"/>
    <n v="111"/>
    <n v="111.9"/>
    <n v="112.4"/>
    <n v="113.2"/>
    <n v="114.5"/>
    <n v="115.6"/>
    <n v="116.1"/>
    <n v="117.2"/>
    <n v="117.6"/>
    <n v="119.1"/>
    <n v="120.9"/>
    <n v="122.4"/>
    <n v="124.8"/>
    <n v="130.5"/>
    <n v="137.4"/>
    <n v="139.1"/>
    <n v="144"/>
    <n v="150"/>
    <n v="165.3"/>
    <n v="171.2"/>
    <n v="171.5"/>
    <n v="170.7"/>
    <n v="167.4"/>
    <n v="164.3"/>
    <n v="167.5"/>
    <n v="171.7"/>
    <n v="174.3"/>
    <n v="177.4"/>
    <n v="175.6"/>
    <n v="171.5"/>
    <n v="172.1"/>
    <n v="171.7"/>
    <n v="168.7"/>
    <n v="159.5"/>
    <n v="152.19999999999999"/>
    <n v="143.9"/>
    <n v="140.9"/>
    <n v="138.30000000000001"/>
    <n v="136.19999999999999"/>
    <n v="133.6"/>
    <n v="132.69999999999999"/>
    <n v="132.9"/>
    <n v="132.30000000000001"/>
    <n v="131.19999999999999"/>
    <n v="129.1"/>
    <n v="127.3"/>
    <n v="125.8"/>
    <n v="124.6"/>
    <n v="123.5"/>
    <n v="122.3"/>
    <n v="121.4"/>
    <n v="121.7"/>
    <n v="122.4"/>
    <n v="121.4"/>
    <n v="119.1"/>
    <n v="119.1"/>
    <n v="119.8"/>
    <n v="120.3"/>
    <n v="121"/>
    <n v="121.8"/>
    <n v="124.9"/>
    <n v="128.30000000000001"/>
    <n v="130"/>
    <n v="130.9"/>
    <n v="131.6"/>
    <n v="132.5"/>
    <n v="135.69999999999999"/>
    <n v="138.30000000000001"/>
    <n v="140.4"/>
    <n v="141.1"/>
    <n v="141.1"/>
    <n v="150.4"/>
    <s v="NA"/>
    <n v="150.9"/>
    <n v="150.9"/>
    <n v="150.4"/>
    <n v="149.80000000000001"/>
    <n v="150.9"/>
    <n v="156.80000000000001"/>
    <n v="160.19999999999999"/>
    <n v="160.4"/>
    <n v="158.80000000000001"/>
    <n v="159.80000000000001"/>
    <n v="161.69999999999999"/>
    <n v="165.4"/>
    <n v="166"/>
    <n v="164"/>
    <n v="164.1"/>
    <n v="164.1"/>
    <n v="165.2"/>
    <n v="165.3"/>
    <n v="164.4"/>
    <n v="163.9"/>
    <n v="163.69999999999999"/>
    <n v="163.9"/>
    <n v="164.7"/>
    <n v="164.7"/>
    <n v="164.3"/>
    <n v="164.3"/>
    <n v="167.2"/>
    <n v="169.1"/>
    <n v="169.8"/>
    <n v="170.5"/>
    <n v="170.8"/>
    <n v="170.9"/>
    <n v="171"/>
    <n v="171.1"/>
    <n v="173.4"/>
    <n v="175.6"/>
  </r>
  <r>
    <x v="2"/>
    <x v="0"/>
    <s v="Sugar and Confectionery"/>
    <n v="106.2"/>
    <n v="105.1"/>
    <n v="104.2"/>
    <n v="103.5"/>
    <n v="103.1"/>
    <n v="103.2"/>
    <n v="103.3"/>
    <n v="103.1"/>
    <n v="103.1"/>
    <n v="102.7"/>
    <n v="102.2"/>
    <n v="101.5"/>
    <n v="100.2"/>
    <n v="99.2"/>
    <n v="99.6"/>
    <n v="101.8"/>
    <n v="102.8"/>
    <n v="102.9"/>
    <n v="104.1"/>
    <n v="104.3"/>
    <n v="103.8"/>
    <n v="103.1"/>
    <n v="102.1"/>
    <n v="100.6"/>
    <n v="99"/>
    <n v="98.3"/>
    <n v="97"/>
    <n v="95.7"/>
    <n v="95.3"/>
    <n v="94.1"/>
    <n v="91.3"/>
    <n v="90.5"/>
    <n v="90.4"/>
    <n v="92.3"/>
    <n v="93.3"/>
    <n v="94.5"/>
    <n v="97.4"/>
    <n v="98.8"/>
    <n v="100.9"/>
    <n v="106.4"/>
    <n v="108.7"/>
    <n v="109.9"/>
    <n v="111.3"/>
    <n v="112.9"/>
    <n v="113.8"/>
    <n v="114.1"/>
    <n v="114.1"/>
    <n v="114.4"/>
    <n v="115.6"/>
    <n v="117.3"/>
    <n v="118"/>
    <n v="118.5"/>
    <n v="119.4"/>
    <n v="119.6"/>
    <n v="120.5"/>
    <n v="121.2"/>
    <n v="121.5"/>
    <n v="121.8"/>
    <n v="123"/>
    <n v="121.5"/>
    <n v="118.8"/>
    <n v="117.1"/>
    <n v="116.1"/>
    <n v="113.7"/>
    <n v="109.6"/>
    <n v="111.1"/>
    <n v="113.5"/>
    <n v="114.7"/>
    <n v="113.7"/>
    <n v="111.9"/>
    <n v="111.9"/>
    <n v="110.3"/>
    <n v="109.1"/>
    <n v="109"/>
    <n v="109"/>
    <n v="109.9"/>
    <n v="111"/>
    <n v="111.1"/>
    <n v="112"/>
    <n v="113.2"/>
    <n v="114"/>
    <n v="114.2"/>
    <n v="114"/>
    <n v="114.1"/>
    <n v="113.6"/>
    <n v="113.2"/>
    <n v="120.3"/>
    <s v="NA"/>
    <n v="114.2"/>
    <n v="114.2"/>
    <n v="115.1"/>
    <n v="116.4"/>
    <n v="116.2"/>
    <n v="115.7"/>
    <n v="115.3"/>
    <n v="114.6"/>
    <n v="112.8"/>
    <n v="112.6"/>
    <n v="113.1"/>
    <n v="114.8"/>
    <n v="115.1"/>
    <n v="114.5"/>
    <n v="119.7"/>
    <n v="119.7"/>
    <n v="121.9"/>
    <n v="122.4"/>
    <n v="121"/>
    <n v="120"/>
    <n v="118.9"/>
    <n v="118.8"/>
    <n v="119"/>
    <n v="119.7"/>
    <n v="119.9"/>
    <n v="120"/>
    <n v="120.9"/>
    <n v="121.6"/>
    <n v="121.9"/>
    <n v="122.1"/>
    <n v="121.8"/>
    <n v="121.1"/>
    <n v="120"/>
    <n v="120"/>
    <n v="121.3"/>
    <n v="122.7"/>
  </r>
  <r>
    <x v="2"/>
    <x v="0"/>
    <s v="Spices"/>
    <n v="102.7"/>
    <n v="102.8"/>
    <n v="103"/>
    <n v="103.3"/>
    <n v="104.3"/>
    <n v="105.7"/>
    <n v="106.8"/>
    <n v="107.4"/>
    <n v="108.3"/>
    <n v="108.7"/>
    <n v="109.4"/>
    <n v="110.5"/>
    <n v="111"/>
    <n v="111.4"/>
    <n v="111.8"/>
    <n v="112.6"/>
    <n v="113.4"/>
    <n v="114.3"/>
    <n v="115.5"/>
    <n v="117.1"/>
    <n v="117.6"/>
    <n v="118.1"/>
    <n v="118.7"/>
    <n v="119.1"/>
    <n v="120.3"/>
    <n v="121.6"/>
    <n v="122.1"/>
    <n v="122.4"/>
    <n v="123.4"/>
    <n v="125.5"/>
    <n v="126.1"/>
    <n v="126.8"/>
    <n v="128.4"/>
    <n v="129.69999999999999"/>
    <n v="131.19999999999999"/>
    <n v="132.1"/>
    <n v="132.9"/>
    <n v="133.6"/>
    <n v="133.9"/>
    <n v="134.4"/>
    <n v="135.30000000000001"/>
    <n v="136.30000000000001"/>
    <n v="137.5"/>
    <n v="138.1"/>
    <n v="138.80000000000001"/>
    <n v="139.30000000000001"/>
    <n v="139.69999999999999"/>
    <n v="140.19999999999999"/>
    <n v="139.6"/>
    <n v="138.69999999999999"/>
    <n v="137.9"/>
    <n v="136.5"/>
    <n v="136"/>
    <n v="135.30000000000001"/>
    <n v="135.19999999999999"/>
    <n v="135.6"/>
    <n v="135.6"/>
    <n v="136.30000000000001"/>
    <n v="136.80000000000001"/>
    <n v="137.1"/>
    <n v="137.5"/>
    <n v="137.30000000000001"/>
    <n v="137.80000000000001"/>
    <n v="138.19999999999999"/>
    <n v="138.1"/>
    <n v="138.4"/>
    <n v="138.9"/>
    <n v="139.4"/>
    <n v="139.5"/>
    <n v="141"/>
    <n v="140.9"/>
    <n v="140.6"/>
    <n v="139.4"/>
    <n v="139.69999999999999"/>
    <n v="139.5"/>
    <n v="139.9"/>
    <n v="140.6"/>
    <n v="141.69999999999999"/>
    <n v="142.6"/>
    <n v="144.1"/>
    <n v="145.4"/>
    <n v="147"/>
    <n v="148.69999999999999"/>
    <n v="150.9"/>
    <n v="152"/>
    <n v="153.19999999999999"/>
    <n v="157.1"/>
    <s v="NA"/>
    <n v="159.5"/>
    <n v="159.5"/>
    <n v="160"/>
    <n v="160.30000000000001"/>
    <n v="161"/>
    <n v="161.80000000000001"/>
    <n v="163"/>
    <n v="164"/>
    <n v="164.2"/>
    <n v="163.5"/>
    <n v="163.9"/>
    <n v="168.2"/>
    <n v="168.5"/>
    <n v="168.3"/>
    <n v="168.8"/>
    <n v="168.8"/>
    <n v="169.3"/>
    <n v="169.6"/>
    <n v="170.5"/>
    <n v="172.1"/>
    <n v="174.3"/>
    <n v="177.4"/>
    <n v="181.3"/>
    <n v="184.9"/>
    <n v="187.1"/>
    <n v="190"/>
    <n v="193.6"/>
    <n v="197.3"/>
    <n v="199.9"/>
    <n v="202.8"/>
    <n v="205.2"/>
    <n v="208.4"/>
    <n v="209.7"/>
    <n v="209.7"/>
    <n v="212.9"/>
    <n v="218"/>
  </r>
  <r>
    <x v="2"/>
    <x v="0"/>
    <s v="Non-alcoholic beverages"/>
    <n v="104.9"/>
    <n v="105.5"/>
    <n v="106.2"/>
    <n v="107.2"/>
    <n v="108.1"/>
    <n v="109"/>
    <n v="109.6"/>
    <n v="110.2"/>
    <n v="110.7"/>
    <n v="111.2"/>
    <n v="111.8"/>
    <n v="112.1"/>
    <n v="112.3"/>
    <n v="112.6"/>
    <n v="112.7"/>
    <n v="113.2"/>
    <n v="113.7"/>
    <n v="114.2"/>
    <n v="114.8"/>
    <n v="115.2"/>
    <n v="115.8"/>
    <n v="116.1"/>
    <n v="116.4"/>
    <n v="116.8"/>
    <n v="117.3"/>
    <n v="118"/>
    <n v="118.1"/>
    <n v="118.5"/>
    <n v="119.2"/>
    <n v="119.8"/>
    <n v="119.9"/>
    <n v="120.4"/>
    <n v="120.7"/>
    <n v="121.1"/>
    <n v="121.7"/>
    <n v="122"/>
    <n v="122.7"/>
    <n v="123"/>
    <n v="123.1"/>
    <n v="123.6"/>
    <n v="124.2"/>
    <n v="124.4"/>
    <n v="125"/>
    <n v="125.5"/>
    <n v="126"/>
    <n v="126.1"/>
    <n v="126.2"/>
    <n v="126.6"/>
    <n v="126.6"/>
    <n v="126.9"/>
    <n v="127.2"/>
    <n v="127.4"/>
    <n v="127.6"/>
    <n v="127.8"/>
    <n v="128.5"/>
    <n v="128.69999999999999"/>
    <n v="128.80000000000001"/>
    <n v="128.69999999999999"/>
    <n v="129.19999999999999"/>
    <n v="128.80000000000001"/>
    <n v="129"/>
    <n v="128.6"/>
    <n v="129.1"/>
    <n v="129.6"/>
    <n v="129.9"/>
    <n v="130.30000000000001"/>
    <n v="130.30000000000001"/>
    <n v="131.1"/>
    <n v="130.80000000000001"/>
    <n v="133.6"/>
    <n v="133.5"/>
    <n v="133.80000000000001"/>
    <n v="133.30000000000001"/>
    <n v="133.6"/>
    <n v="133.69999999999999"/>
    <n v="134"/>
    <n v="134.19999999999999"/>
    <n v="134.69999999999999"/>
    <n v="134.9"/>
    <n v="135"/>
    <n v="135.1"/>
    <n v="135.30000000000001"/>
    <n v="135.80000000000001"/>
    <n v="136.1"/>
    <n v="136.5"/>
    <n v="136.69999999999999"/>
    <n v="136.80000000000001"/>
    <s v="NA"/>
    <n v="139.4"/>
    <n v="139.4"/>
    <n v="140.6"/>
    <n v="142.19999999999999"/>
    <n v="144"/>
    <n v="146.5"/>
    <n v="149.19999999999999"/>
    <n v="151.80000000000001"/>
    <n v="155.5"/>
    <n v="156.5"/>
    <n v="157.6"/>
    <n v="159.30000000000001"/>
    <n v="160"/>
    <n v="160.9"/>
    <n v="162.69999999999999"/>
    <n v="162.69999999999999"/>
    <n v="163.19999999999999"/>
    <n v="163.69999999999999"/>
    <n v="164.2"/>
    <n v="164.3"/>
    <n v="164.7"/>
    <n v="165.3"/>
    <n v="166.2"/>
    <n v="167.1"/>
    <n v="167.9"/>
    <n v="168.4"/>
    <n v="168.8"/>
    <n v="169.4"/>
    <n v="169.9"/>
    <n v="170.4"/>
    <n v="171"/>
    <n v="171.4"/>
    <n v="172.3"/>
    <n v="172.3"/>
    <n v="172.9"/>
    <n v="173.4"/>
  </r>
  <r>
    <x v="2"/>
    <x v="0"/>
    <s v="Prepared meals, snacks, sweets etc."/>
    <n v="107.3"/>
    <n v="108.3"/>
    <n v="108.9"/>
    <n v="109.6"/>
    <n v="110.5"/>
    <n v="111.6"/>
    <n v="112.6"/>
    <n v="113.4"/>
    <n v="114.6"/>
    <n v="115.4"/>
    <n v="116.5"/>
    <n v="117.4"/>
    <n v="118.1"/>
    <n v="118.8"/>
    <n v="119.3"/>
    <n v="119.8"/>
    <n v="120.4"/>
    <n v="121.2"/>
    <n v="122.1"/>
    <n v="123.1"/>
    <n v="123.8"/>
    <n v="124.5"/>
    <n v="125.6"/>
    <n v="126.1"/>
    <n v="126.7"/>
    <n v="127.6"/>
    <n v="128.4"/>
    <n v="129.1"/>
    <n v="129.80000000000001"/>
    <n v="130.9"/>
    <n v="131.4"/>
    <n v="132.1"/>
    <n v="132.5"/>
    <n v="133"/>
    <n v="134"/>
    <n v="134.69999999999999"/>
    <n v="135.30000000000001"/>
    <n v="135.80000000000001"/>
    <n v="136.30000000000001"/>
    <n v="136.69999999999999"/>
    <n v="137.4"/>
    <n v="138.1"/>
    <n v="138.80000000000001"/>
    <n v="139.5"/>
    <n v="140.19999999999999"/>
    <n v="141.1"/>
    <n v="141.80000000000001"/>
    <n v="142.30000000000001"/>
    <n v="142.80000000000001"/>
    <n v="143.19999999999999"/>
    <n v="144"/>
    <n v="144.19999999999999"/>
    <n v="144.5"/>
    <n v="144.9"/>
    <n v="145.80000000000001"/>
    <n v="146.80000000000001"/>
    <n v="147.30000000000001"/>
    <n v="148.1"/>
    <n v="148.9"/>
    <n v="149"/>
    <n v="149.5"/>
    <n v="149.6"/>
    <n v="150.4"/>
    <n v="151.19999999999999"/>
    <n v="151.69999999999999"/>
    <n v="151.80000000000001"/>
    <n v="152.30000000000001"/>
    <n v="153"/>
    <n v="153.80000000000001"/>
    <n v="154.5"/>
    <n v="154.5"/>
    <n v="154.6"/>
    <n v="154.6"/>
    <n v="154.9"/>
    <n v="155.19999999999999"/>
    <n v="155.5"/>
    <n v="155.9"/>
    <n v="156.19999999999999"/>
    <n v="156.6"/>
    <n v="156.80000000000001"/>
    <n v="157.1"/>
    <n v="157.5"/>
    <n v="158"/>
    <n v="158.6"/>
    <n v="159.1"/>
    <n v="159.6"/>
    <s v="NA"/>
    <s v="NA"/>
    <n v="161.80000000000001"/>
    <n v="161.80000000000001"/>
    <n v="162.30000000000001"/>
    <n v="162.9"/>
    <n v="163.19999999999999"/>
    <n v="163.80000000000001"/>
    <n v="164.8"/>
    <n v="165.6"/>
    <n v="167.5"/>
    <n v="168.2"/>
    <n v="168.9"/>
    <n v="170.4"/>
    <n v="172.4"/>
    <n v="172.2"/>
    <n v="173.9"/>
    <n v="173.9"/>
    <n v="174.7"/>
    <n v="175.5"/>
    <n v="176.5"/>
    <n v="177.3"/>
    <n v="178"/>
    <n v="179.3"/>
    <n v="180.9"/>
    <n v="182.5"/>
    <n v="183.9"/>
    <n v="185.2"/>
    <n v="186.3"/>
    <n v="187.4"/>
    <n v="188.3"/>
    <n v="189.5"/>
    <n v="190.3"/>
    <n v="191.2"/>
    <n v="193"/>
    <n v="193"/>
    <n v="193.5"/>
    <n v="194.2"/>
  </r>
  <r>
    <x v="2"/>
    <x v="0"/>
    <s v="Food and beverages"/>
    <n v="105.6"/>
    <n v="106.6"/>
    <n v="106.9"/>
    <n v="107.7"/>
    <n v="109.2"/>
    <n v="112.2"/>
    <n v="114.7"/>
    <n v="116.6"/>
    <n v="118.3"/>
    <n v="120.2"/>
    <n v="122.6"/>
    <n v="118.4"/>
    <n v="115.8"/>
    <n v="115.3"/>
    <n v="116.1"/>
    <n v="117.6"/>
    <n v="118.9"/>
    <n v="120.4"/>
    <n v="124.7"/>
    <n v="126.6"/>
    <n v="125.8"/>
    <n v="125.4"/>
    <n v="125.1"/>
    <n v="123.6"/>
    <n v="123.1"/>
    <n v="123.1"/>
    <n v="123.4"/>
    <n v="124"/>
    <n v="125"/>
    <n v="127.3"/>
    <n v="128.19999999999999"/>
    <n v="130.30000000000001"/>
    <n v="131.19999999999999"/>
    <n v="132.1"/>
    <n v="132.69999999999999"/>
    <n v="131.4"/>
    <n v="131.30000000000001"/>
    <n v="129.9"/>
    <n v="129.80000000000001"/>
    <n v="131.80000000000001"/>
    <n v="134"/>
    <n v="136.80000000000001"/>
    <n v="138.4"/>
    <n v="137.9"/>
    <n v="136.6"/>
    <n v="137"/>
    <n v="136.1"/>
    <n v="134"/>
    <n v="133.1"/>
    <n v="133"/>
    <n v="133.1"/>
    <n v="133.5"/>
    <n v="133.69999999999999"/>
    <n v="135.19999999999999"/>
    <n v="139"/>
    <n v="140.6"/>
    <n v="139"/>
    <n v="140.1"/>
    <n v="142.1"/>
    <n v="140.5"/>
    <n v="139.19999999999999"/>
    <n v="137.6"/>
    <n v="137.19999999999999"/>
    <n v="137.5"/>
    <n v="138.1"/>
    <n v="139.4"/>
    <n v="141.4"/>
    <n v="141.69999999999999"/>
    <n v="140.4"/>
    <n v="139.69999999999999"/>
    <n v="139.69999999999999"/>
    <n v="138.19999999999999"/>
    <n v="137.4"/>
    <n v="137.5"/>
    <n v="138.1"/>
    <n v="140.9"/>
    <n v="142.69999999999999"/>
    <n v="144.69999999999999"/>
    <n v="145.9"/>
    <n v="147"/>
    <n v="149.6"/>
    <n v="151.9"/>
    <n v="155"/>
    <n v="153.5"/>
    <n v="150.5"/>
    <n v="148.9"/>
    <n v="151.4"/>
    <s v="NA"/>
    <n v="154"/>
    <n v="154"/>
    <n v="157"/>
    <n v="158"/>
    <n v="161.4"/>
    <n v="164.7"/>
    <n v="165.4"/>
    <n v="161"/>
    <n v="156.9"/>
    <n v="156.69999999999999"/>
    <n v="158"/>
    <n v="160.69999999999999"/>
    <n v="162.6"/>
    <n v="164"/>
    <n v="164"/>
    <n v="164"/>
    <n v="167.7"/>
    <n v="169.7"/>
    <n v="168.2"/>
    <n v="166.4"/>
    <n v="166.2"/>
    <n v="168.4"/>
    <n v="170.8"/>
    <n v="173.3"/>
    <n v="174.9"/>
    <n v="175"/>
    <n v="176.3"/>
    <n v="177.8"/>
    <n v="179.6"/>
    <n v="178.3"/>
    <n v="175.9"/>
    <n v="176.7"/>
    <n v="177"/>
    <n v="177"/>
    <n v="177.9"/>
    <n v="179.1"/>
  </r>
  <r>
    <x v="2"/>
    <x v="0"/>
    <s v="Pan, tobacco and intoxicants"/>
    <n v="105.1"/>
    <n v="105.7"/>
    <n v="106.6"/>
    <n v="107.5"/>
    <n v="108.6"/>
    <n v="109.5"/>
    <n v="110.3"/>
    <n v="111.2"/>
    <n v="112"/>
    <n v="112.5"/>
    <n v="113.1"/>
    <n v="114"/>
    <n v="114.5"/>
    <n v="114.7"/>
    <n v="115.2"/>
    <n v="116"/>
    <n v="116.8"/>
    <n v="117.8"/>
    <n v="118.8"/>
    <n v="119.9"/>
    <n v="120.8"/>
    <n v="121.1"/>
    <n v="122.1"/>
    <n v="123"/>
    <n v="124"/>
    <n v="125.2"/>
    <n v="125.8"/>
    <n v="126.9"/>
    <n v="127.9"/>
    <n v="129.19999999999999"/>
    <n v="130.4"/>
    <n v="131.19999999999999"/>
    <n v="132"/>
    <n v="132.5"/>
    <n v="133.6"/>
    <n v="134.5"/>
    <n v="135.19999999999999"/>
    <n v="135.9"/>
    <n v="136.5"/>
    <n v="137.1"/>
    <n v="137.69999999999999"/>
    <n v="138.69999999999999"/>
    <n v="139.30000000000001"/>
    <n v="140.19999999999999"/>
    <n v="141"/>
    <n v="141.80000000000001"/>
    <n v="142"/>
    <n v="143.1"/>
    <n v="143.80000000000001"/>
    <n v="144.4"/>
    <n v="145.1"/>
    <n v="145.4"/>
    <n v="146.19999999999999"/>
    <n v="146.5"/>
    <n v="148.19999999999999"/>
    <n v="149.80000000000001"/>
    <n v="150.80000000000001"/>
    <n v="151.6"/>
    <n v="153.19999999999999"/>
    <n v="154.19999999999999"/>
    <n v="154.69999999999999"/>
    <n v="154.9"/>
    <n v="156.30000000000001"/>
    <n v="156.9"/>
    <n v="157.9"/>
    <n v="158.30000000000001"/>
    <n v="157.5"/>
    <n v="157.9"/>
    <n v="159.19999999999999"/>
    <n v="162.6"/>
    <n v="162.6"/>
    <n v="163"/>
    <n v="163.19999999999999"/>
    <n v="163.4"/>
    <n v="163.5"/>
    <n v="164.1"/>
    <n v="164.9"/>
    <n v="165.2"/>
    <n v="165.8"/>
    <n v="166.5"/>
    <n v="167.1"/>
    <n v="167.9"/>
    <n v="168.5"/>
    <n v="169.2"/>
    <n v="170.1"/>
    <n v="171.2"/>
    <s v="NA"/>
    <s v="NA"/>
    <n v="183.5"/>
    <n v="183.5"/>
    <n v="182.6"/>
    <n v="184.4"/>
    <n v="184.3"/>
    <n v="184.8"/>
    <n v="185.4"/>
    <n v="186.5"/>
    <n v="188.3"/>
    <n v="188.1"/>
    <n v="188.8"/>
    <n v="191.9"/>
    <n v="190.8"/>
    <n v="191.2"/>
    <n v="192.1"/>
    <n v="192.1"/>
    <n v="192.7"/>
    <n v="192.9"/>
    <n v="192.4"/>
    <n v="192.2"/>
    <n v="192.8"/>
    <n v="193.7"/>
    <n v="193.9"/>
    <n v="194.1"/>
    <n v="194.3"/>
    <n v="194.6"/>
    <n v="195"/>
    <n v="195.9"/>
    <n v="196.3"/>
    <n v="196.9"/>
    <n v="197.3"/>
    <n v="198.2"/>
    <n v="199.5"/>
    <n v="199.5"/>
    <n v="200.6"/>
    <n v="201"/>
  </r>
  <r>
    <x v="2"/>
    <x v="1"/>
    <s v="Clothing"/>
    <n v="106.3"/>
    <n v="106.9"/>
    <n v="107.4"/>
    <n v="108"/>
    <n v="108.7"/>
    <n v="109.5"/>
    <n v="110.2"/>
    <n v="111"/>
    <n v="112.2"/>
    <n v="113.2"/>
    <n v="114.2"/>
    <n v="115.2"/>
    <n v="115.8"/>
    <n v="116.4"/>
    <n v="116.8"/>
    <n v="117.4"/>
    <n v="118"/>
    <n v="118.8"/>
    <n v="119.6"/>
    <n v="120"/>
    <n v="120.7"/>
    <n v="121.5"/>
    <n v="122.1"/>
    <n v="122.6"/>
    <n v="123.1"/>
    <n v="123.8"/>
    <n v="124.3"/>
    <n v="124.7"/>
    <n v="125.4"/>
    <n v="126.4"/>
    <n v="126.7"/>
    <n v="127.2"/>
    <n v="127.9"/>
    <n v="128.5"/>
    <n v="129.30000000000001"/>
    <n v="129.69999999999999"/>
    <n v="130.30000000000001"/>
    <n v="130.9"/>
    <n v="131.30000000000001"/>
    <n v="131.80000000000001"/>
    <n v="132.19999999999999"/>
    <n v="132.9"/>
    <n v="133.5"/>
    <n v="134.1"/>
    <n v="134.6"/>
    <n v="135.5"/>
    <n v="135.80000000000001"/>
    <n v="136.30000000000001"/>
    <n v="136.6"/>
    <n v="136.80000000000001"/>
    <n v="137.30000000000001"/>
    <n v="138"/>
    <n v="138.19999999999999"/>
    <n v="138.5"/>
    <n v="139.30000000000001"/>
    <n v="140.30000000000001"/>
    <n v="141.1"/>
    <n v="142"/>
    <n v="143"/>
    <n v="143.1"/>
    <n v="143.5"/>
    <n v="143.80000000000001"/>
    <n v="144.30000000000001"/>
    <n v="145.30000000000001"/>
    <n v="146"/>
    <n v="146.4"/>
    <n v="146.80000000000001"/>
    <n v="147.30000000000001"/>
    <n v="147.69999999999999"/>
    <n v="148"/>
    <n v="148"/>
    <n v="148.1"/>
    <n v="147.6"/>
    <n v="147.69999999999999"/>
    <n v="147.9"/>
    <n v="148.4"/>
    <n v="148.6"/>
    <n v="148.9"/>
    <n v="149.1"/>
    <n v="149.19999999999999"/>
    <n v="149.4"/>
    <n v="149.9"/>
    <n v="150.30000000000001"/>
    <n v="150.5"/>
    <n v="150.80000000000001"/>
    <n v="151.19999999999999"/>
    <s v="NA"/>
    <s v="NA"/>
    <n v="152.5"/>
    <n v="152.5"/>
    <n v="153.1"/>
    <n v="153.4"/>
    <n v="153.69999999999999"/>
    <n v="154.30000000000001"/>
    <n v="155"/>
    <n v="155.5"/>
    <n v="157.19999999999999"/>
    <n v="157.80000000000001"/>
    <n v="158.80000000000001"/>
    <n v="161.80000000000001"/>
    <n v="162.19999999999999"/>
    <n v="162.80000000000001"/>
    <n v="164.5"/>
    <n v="164.6"/>
    <n v="165.7"/>
    <n v="167.2"/>
    <n v="168.5"/>
    <n v="169.9"/>
    <n v="170.8"/>
    <n v="172.1"/>
    <n v="173.9"/>
    <n v="175.6"/>
    <n v="177.1"/>
    <n v="178.3"/>
    <n v="179.5"/>
    <n v="180.9"/>
    <n v="181.9"/>
    <n v="183.1"/>
    <n v="184"/>
    <n v="184.9"/>
    <n v="186.2"/>
    <n v="186.1"/>
    <n v="186.9"/>
    <n v="187.3"/>
  </r>
  <r>
    <x v="2"/>
    <x v="1"/>
    <s v="Footwear"/>
    <n v="105.5"/>
    <n v="106"/>
    <n v="106.5"/>
    <n v="107"/>
    <n v="107.4"/>
    <n v="108.1"/>
    <n v="108.8"/>
    <n v="109.4"/>
    <n v="110.4"/>
    <n v="111.2"/>
    <n v="111.9"/>
    <n v="112.7"/>
    <n v="113.2"/>
    <n v="113.3"/>
    <n v="113.7"/>
    <n v="114.6"/>
    <n v="115.2"/>
    <n v="115.6"/>
    <n v="116.3"/>
    <n v="116.8"/>
    <n v="117.2"/>
    <n v="118.1"/>
    <n v="118.4"/>
    <n v="118.6"/>
    <n v="119.3"/>
    <n v="120.1"/>
    <n v="120.4"/>
    <n v="120.8"/>
    <n v="121.3"/>
    <n v="122"/>
    <n v="122.3"/>
    <n v="122.9"/>
    <n v="123.4"/>
    <n v="123.8"/>
    <n v="124.5"/>
    <n v="124.8"/>
    <n v="125.1"/>
    <n v="125.8"/>
    <n v="126.1"/>
    <n v="126.4"/>
    <n v="126.8"/>
    <n v="127.2"/>
    <n v="127.6"/>
    <n v="128.19999999999999"/>
    <n v="128.6"/>
    <n v="129.1"/>
    <n v="129.30000000000001"/>
    <n v="129.80000000000001"/>
    <n v="130.19999999999999"/>
    <n v="130.30000000000001"/>
    <n v="130.6"/>
    <n v="131.1"/>
    <n v="131.4"/>
    <n v="131.69999999999999"/>
    <n v="132.1"/>
    <n v="133"/>
    <n v="133.4"/>
    <n v="134.1"/>
    <n v="134.80000000000001"/>
    <n v="135.1"/>
    <n v="135.5"/>
    <n v="135.6"/>
    <n v="136.19999999999999"/>
    <n v="136.69999999999999"/>
    <n v="137.4"/>
    <n v="138.1"/>
    <n v="138.4"/>
    <n v="138.80000000000001"/>
    <n v="139.1"/>
    <n v="139.19999999999999"/>
    <n v="139.1"/>
    <n v="139.4"/>
    <n v="139"/>
    <n v="139.69999999999999"/>
    <n v="139.9"/>
    <n v="140.4"/>
    <n v="140.4"/>
    <n v="140.5"/>
    <n v="140.6"/>
    <n v="140.6"/>
    <n v="140.80000000000001"/>
    <n v="141"/>
    <n v="141.30000000000001"/>
    <n v="141.5"/>
    <n v="141.69999999999999"/>
    <n v="141.9"/>
    <s v="NA"/>
    <s v="NA"/>
    <n v="144.4"/>
    <n v="144.4"/>
    <n v="143.4"/>
    <n v="144.30000000000001"/>
    <n v="144.6"/>
    <n v="144.9"/>
    <n v="145.4"/>
    <n v="146.1"/>
    <n v="147.4"/>
    <n v="147.9"/>
    <n v="148.5"/>
    <n v="152.1"/>
    <n v="151.80000000000001"/>
    <n v="153.1"/>
    <n v="155.30000000000001"/>
    <n v="155.30000000000001"/>
    <n v="156.30000000000001"/>
    <n v="157.4"/>
    <n v="158.69999999999999"/>
    <n v="160.69999999999999"/>
    <n v="162.4"/>
    <n v="164.6"/>
    <n v="166.5"/>
    <n v="168.4"/>
    <n v="169.9"/>
    <n v="171.3"/>
    <n v="172.7"/>
    <n v="174.3"/>
    <n v="175.3"/>
    <n v="176.2"/>
    <n v="177"/>
    <n v="177.6"/>
    <n v="178.7"/>
    <n v="178.7"/>
    <n v="179.2"/>
    <n v="179.7"/>
  </r>
  <r>
    <x v="2"/>
    <x v="1"/>
    <s v="Clothing and footwear"/>
    <n v="106.2"/>
    <n v="106.8"/>
    <n v="107.3"/>
    <n v="107.9"/>
    <n v="108.5"/>
    <n v="109.3"/>
    <n v="110"/>
    <n v="110.7"/>
    <n v="111.9"/>
    <n v="112.8"/>
    <n v="113.8"/>
    <n v="114.8"/>
    <n v="115.4"/>
    <n v="115.9"/>
    <n v="116.4"/>
    <n v="117"/>
    <n v="117.6"/>
    <n v="118.3"/>
    <n v="119.1"/>
    <n v="119.6"/>
    <n v="120.1"/>
    <n v="121"/>
    <n v="121.6"/>
    <n v="122"/>
    <n v="122.5"/>
    <n v="123.3"/>
    <n v="123.7"/>
    <n v="124.1"/>
    <n v="124.7"/>
    <n v="125.7"/>
    <n v="126.1"/>
    <n v="126.6"/>
    <n v="127.2"/>
    <n v="127.8"/>
    <n v="128.6"/>
    <n v="129"/>
    <n v="129.5"/>
    <n v="130.19999999999999"/>
    <n v="130.5"/>
    <n v="131"/>
    <n v="131.4"/>
    <n v="132"/>
    <n v="132.69999999999999"/>
    <n v="133.19999999999999"/>
    <n v="133.80000000000001"/>
    <n v="134.5"/>
    <n v="135"/>
    <n v="135.4"/>
    <n v="135.6"/>
    <n v="135.9"/>
    <n v="136.4"/>
    <n v="137"/>
    <n v="137.19999999999999"/>
    <n v="137.5"/>
    <n v="138.30000000000001"/>
    <n v="139.30000000000001"/>
    <n v="140"/>
    <n v="140.80000000000001"/>
    <n v="141.80000000000001"/>
    <n v="142"/>
    <n v="142.30000000000001"/>
    <n v="142.6"/>
    <n v="143.1"/>
    <n v="144"/>
    <n v="144.69999999999999"/>
    <n v="145.19999999999999"/>
    <n v="145.6"/>
    <n v="146.1"/>
    <n v="146.5"/>
    <n v="146.80000000000001"/>
    <n v="146.69999999999999"/>
    <n v="146.80000000000001"/>
    <n v="146.4"/>
    <n v="146.5"/>
    <n v="146.69999999999999"/>
    <n v="147.30000000000001"/>
    <n v="147.4"/>
    <n v="147.6"/>
    <n v="147.9"/>
    <n v="147.9"/>
    <n v="148.19999999999999"/>
    <n v="148.6"/>
    <n v="149"/>
    <n v="149.19999999999999"/>
    <n v="149.5"/>
    <n v="149.80000000000001"/>
    <s v="NA"/>
    <s v="NA"/>
    <n v="151.4"/>
    <n v="151.4"/>
    <n v="151.69999999999999"/>
    <n v="152"/>
    <n v="152.30000000000001"/>
    <n v="152.80000000000001"/>
    <n v="153.6"/>
    <n v="154.19999999999999"/>
    <n v="155.80000000000001"/>
    <n v="156.4"/>
    <n v="157.30000000000001"/>
    <n v="160.4"/>
    <n v="160.69999999999999"/>
    <n v="161.4"/>
    <n v="163.19999999999999"/>
    <n v="163.30000000000001"/>
    <n v="164.3"/>
    <n v="165.8"/>
    <n v="167"/>
    <n v="168.5"/>
    <n v="169.6"/>
    <n v="171.1"/>
    <n v="172.8"/>
    <n v="174.6"/>
    <n v="176"/>
    <n v="177.3"/>
    <n v="178.5"/>
    <n v="179.9"/>
    <n v="181"/>
    <n v="182.1"/>
    <n v="183"/>
    <n v="183.8"/>
    <n v="185.1"/>
    <n v="185.1"/>
    <n v="185.7"/>
    <n v="186.2"/>
  </r>
  <r>
    <x v="2"/>
    <x v="2"/>
    <s v="Housing"/>
    <n v="100.3"/>
    <n v="100.4"/>
    <n v="100.4"/>
    <n v="100.5"/>
    <n v="100.5"/>
    <n v="106.6"/>
    <n v="107.7"/>
    <n v="108.9"/>
    <n v="109.7"/>
    <n v="110.5"/>
    <n v="111.1"/>
    <n v="110.7"/>
    <n v="111.6"/>
    <n v="112.5"/>
    <n v="113.2"/>
    <n v="113.9"/>
    <n v="114.3"/>
    <n v="113.9"/>
    <n v="114.8"/>
    <n v="115.5"/>
    <n v="116.1"/>
    <n v="116.7"/>
    <n v="117.1"/>
    <n v="116.5"/>
    <n v="117.3"/>
    <n v="118.1"/>
    <n v="118.6"/>
    <n v="119.2"/>
    <n v="119.6"/>
    <n v="119"/>
    <n v="119.9"/>
    <n v="120.9"/>
    <n v="121.6"/>
    <n v="122.4"/>
    <n v="122.9"/>
    <n v="122.4"/>
    <n v="123.4"/>
    <n v="124.4"/>
    <n v="124.9"/>
    <n v="125.6"/>
    <n v="126"/>
    <n v="125.5"/>
    <n v="126.4"/>
    <n v="127.3"/>
    <n v="127.9"/>
    <n v="128.69999999999999"/>
    <n v="129.1"/>
    <n v="128.5"/>
    <n v="129.6"/>
    <n v="130.5"/>
    <n v="131.1"/>
    <n v="131.69999999999999"/>
    <n v="132.1"/>
    <n v="131.4"/>
    <n v="132.6"/>
    <n v="134.4"/>
    <n v="135.69999999999999"/>
    <n v="137.30000000000001"/>
    <n v="138.6"/>
    <n v="139.1"/>
    <n v="140.4"/>
    <n v="141.30000000000001"/>
    <n v="142"/>
    <n v="142.9"/>
    <n v="143.19999999999999"/>
    <n v="142.5"/>
    <n v="143.6"/>
    <n v="144.6"/>
    <n v="145.30000000000001"/>
    <n v="146.9"/>
    <n v="146.9"/>
    <n v="146.5"/>
    <n v="147.69999999999999"/>
    <n v="148.5"/>
    <n v="149"/>
    <n v="150.1"/>
    <n v="149.4"/>
    <n v="150.6"/>
    <n v="151.6"/>
    <n v="152.19999999999999"/>
    <n v="153"/>
    <n v="153.5"/>
    <n v="152.80000000000001"/>
    <n v="153.9"/>
    <n v="154.80000000000001"/>
    <n v="154.5"/>
    <n v="155.6"/>
    <s v="NA"/>
    <n v="154.69999999999999"/>
    <n v="154.69999999999999"/>
    <n v="155.5"/>
    <n v="156.30000000000001"/>
    <n v="156.5"/>
    <n v="158"/>
    <n v="158.4"/>
    <n v="157.69999999999999"/>
    <n v="159.80000000000001"/>
    <n v="159.9"/>
    <n v="161.4"/>
    <n v="161.6"/>
    <n v="160.5"/>
    <n v="161.5"/>
    <n v="162.1"/>
    <n v="162.1"/>
    <n v="163.6"/>
    <n v="164.2"/>
    <n v="163.4"/>
    <n v="164.5"/>
    <n v="165.5"/>
    <n v="165.3"/>
    <n v="167"/>
    <n v="167.5"/>
    <n v="166.8"/>
    <n v="167.8"/>
    <n v="169"/>
    <n v="169.5"/>
    <n v="171.2"/>
    <n v="171.8"/>
    <n v="170.7"/>
    <n v="172.1"/>
    <n v="173.5"/>
    <n v="173.5"/>
    <n v="175.2"/>
    <n v="175.6"/>
  </r>
  <r>
    <x v="2"/>
    <x v="2"/>
    <s v="Fuel and light"/>
    <n v="105.5"/>
    <n v="106"/>
    <n v="106.1"/>
    <n v="106.5"/>
    <n v="107.4"/>
    <n v="108.3"/>
    <n v="109.2"/>
    <n v="109.7"/>
    <n v="110.5"/>
    <n v="110.9"/>
    <n v="111.6"/>
    <n v="111.9"/>
    <n v="112.2"/>
    <n v="112.4"/>
    <n v="112.5"/>
    <n v="112.5"/>
    <n v="112.5"/>
    <n v="113.2"/>
    <n v="113.9"/>
    <n v="114"/>
    <n v="114.3"/>
    <n v="114.7"/>
    <n v="115.5"/>
    <n v="115.7"/>
    <n v="116.5"/>
    <n v="117.7"/>
    <n v="118.3"/>
    <n v="118.7"/>
    <n v="119.2"/>
    <n v="119.8"/>
    <n v="120.1"/>
    <n v="120.6"/>
    <n v="120.4"/>
    <n v="120.8"/>
    <n v="121.6"/>
    <n v="122"/>
    <n v="122.7"/>
    <n v="123.1"/>
    <n v="122.4"/>
    <n v="122.3"/>
    <n v="122.7"/>
    <n v="123.3"/>
    <n v="123.4"/>
    <n v="123.6"/>
    <n v="124.1"/>
    <n v="124.3"/>
    <n v="125"/>
    <n v="126.6"/>
    <n v="126.8"/>
    <n v="127.9"/>
    <n v="129.1"/>
    <n v="129.80000000000001"/>
    <n v="129.4"/>
    <n v="128.80000000000001"/>
    <n v="129.4"/>
    <n v="129.80000000000001"/>
    <n v="131"/>
    <n v="132.19999999999999"/>
    <n v="135.30000000000001"/>
    <n v="136.6"/>
    <n v="136.6"/>
    <n v="136.69999999999999"/>
    <n v="136.5"/>
    <n v="136.5"/>
    <n v="136.9"/>
    <n v="138.1"/>
    <n v="139.69999999999999"/>
    <n v="140.9"/>
    <n v="142.30000000000001"/>
    <n v="145.30000000000001"/>
    <n v="145.1"/>
    <n v="142.69999999999999"/>
    <n v="139.5"/>
    <n v="138.4"/>
    <n v="139.69999999999999"/>
    <n v="140.30000000000001"/>
    <n v="141.19999999999999"/>
    <n v="139.30000000000001"/>
    <n v="138.5"/>
    <n v="139.19999999999999"/>
    <n v="140.6"/>
    <n v="142.30000000000001"/>
    <n v="143.69999999999999"/>
    <n v="144.6"/>
    <n v="147.19999999999999"/>
    <n v="148.9"/>
    <n v="144.1"/>
    <s v="NA"/>
    <n v="141.9"/>
    <n v="141.9"/>
    <n v="143"/>
    <n v="142.9"/>
    <n v="143.1"/>
    <n v="143.6"/>
    <n v="144.6"/>
    <n v="147.9"/>
    <n v="152.4"/>
    <n v="155.5"/>
    <n v="155.6"/>
    <n v="159.4"/>
    <n v="159.80000000000001"/>
    <n v="160.69999999999999"/>
    <n v="162.6"/>
    <n v="162.6"/>
    <n v="164.2"/>
    <n v="163.9"/>
    <n v="164.1"/>
    <n v="164.2"/>
    <n v="165.7"/>
    <n v="167.2"/>
    <n v="172.2"/>
    <n v="174.6"/>
    <n v="176"/>
    <n v="179.6"/>
    <n v="178.8"/>
    <n v="179.5"/>
    <n v="180.5"/>
    <n v="181.3"/>
    <n v="182"/>
    <n v="182"/>
    <n v="182.1"/>
    <n v="181.9"/>
    <n v="181.7"/>
    <n v="182.8"/>
  </r>
  <r>
    <x v="2"/>
    <x v="2"/>
    <s v="Household goods and services"/>
    <n v="104.8"/>
    <n v="105.2"/>
    <n v="105.6"/>
    <n v="106.3"/>
    <n v="106.9"/>
    <n v="107.6"/>
    <n v="108.2"/>
    <n v="108.7"/>
    <n v="109.6"/>
    <n v="110.3"/>
    <n v="111.1"/>
    <n v="111.7"/>
    <n v="112.3"/>
    <n v="112.8"/>
    <n v="113.2"/>
    <n v="113.6"/>
    <n v="114.1"/>
    <n v="114.6"/>
    <n v="115.2"/>
    <n v="115.6"/>
    <n v="116.1"/>
    <n v="116.7"/>
    <n v="117.3"/>
    <n v="117.5"/>
    <n v="118.1"/>
    <n v="118.7"/>
    <n v="119.2"/>
    <n v="119.7"/>
    <n v="120.2"/>
    <n v="121.1"/>
    <n v="121.3"/>
    <n v="122"/>
    <n v="122.6"/>
    <n v="123"/>
    <n v="123.4"/>
    <n v="123.6"/>
    <n v="124.2"/>
    <n v="124.6"/>
    <n v="125.1"/>
    <n v="125.5"/>
    <n v="126"/>
    <n v="126.4"/>
    <n v="126.9"/>
    <n v="127.4"/>
    <n v="127.9"/>
    <n v="128.4"/>
    <n v="128.6"/>
    <n v="129.19999999999999"/>
    <n v="129.4"/>
    <n v="129.69999999999999"/>
    <n v="130.1"/>
    <n v="130.4"/>
    <n v="130.9"/>
    <n v="131.19999999999999"/>
    <n v="131.9"/>
    <n v="132.80000000000001"/>
    <n v="133.30000000000001"/>
    <n v="133.6"/>
    <n v="134.4"/>
    <n v="134.69999999999999"/>
    <n v="134.9"/>
    <n v="135.19999999999999"/>
    <n v="135.6"/>
    <n v="136.6"/>
    <n v="137.4"/>
    <n v="137.9"/>
    <n v="138.6"/>
    <n v="139.4"/>
    <n v="139.69999999999999"/>
    <n v="142.19999999999999"/>
    <n v="142.19999999999999"/>
    <n v="143.19999999999999"/>
    <n v="143.6"/>
    <n v="143.69999999999999"/>
    <n v="143.80000000000001"/>
    <n v="143.69999999999999"/>
    <n v="143.80000000000001"/>
    <n v="144.19999999999999"/>
    <n v="144.5"/>
    <n v="144.6"/>
    <n v="145"/>
    <n v="145.30000000000001"/>
    <n v="145.80000000000001"/>
    <n v="146.19999999999999"/>
    <n v="146.4"/>
    <n v="146.4"/>
    <s v="NA"/>
    <s v="NA"/>
    <n v="146.4"/>
    <n v="146.4"/>
    <n v="148.4"/>
    <n v="148.69999999999999"/>
    <n v="148.69999999999999"/>
    <n v="149.19999999999999"/>
    <n v="149.69999999999999"/>
    <n v="150"/>
    <n v="150.9"/>
    <n v="151.19999999999999"/>
    <n v="151.80000000000001"/>
    <n v="154.69999999999999"/>
    <n v="154.80000000000001"/>
    <n v="155.80000000000001"/>
    <n v="157.5"/>
    <n v="157.5"/>
    <n v="158.4"/>
    <n v="159.30000000000001"/>
    <n v="160.19999999999999"/>
    <n v="161.1"/>
    <n v="161.80000000000001"/>
    <n v="162.80000000000001"/>
    <n v="164"/>
    <n v="165.2"/>
    <n v="166.4"/>
    <n v="167.4"/>
    <n v="168.5"/>
    <n v="169.5"/>
    <n v="170.4"/>
    <n v="171.4"/>
    <n v="172.1"/>
    <n v="172.9"/>
    <n v="174.2"/>
    <n v="174.2"/>
    <n v="174.6"/>
    <n v="175.2"/>
  </r>
  <r>
    <x v="2"/>
    <x v="3"/>
    <s v="Health"/>
    <n v="104"/>
    <n v="104.5"/>
    <n v="104.9"/>
    <n v="105.3"/>
    <n v="105.9"/>
    <n v="106.4"/>
    <n v="107"/>
    <n v="107.5"/>
    <n v="108.1"/>
    <n v="108.6"/>
    <n v="109.3"/>
    <n v="109.7"/>
    <n v="110.3"/>
    <n v="110.7"/>
    <n v="111.2"/>
    <n v="111.5"/>
    <n v="111.8"/>
    <n v="112.3"/>
    <n v="112.7"/>
    <n v="113.3"/>
    <n v="113.7"/>
    <n v="114.3"/>
    <n v="114.8"/>
    <n v="115.1"/>
    <n v="115.5"/>
    <n v="116.3"/>
    <n v="116.7"/>
    <n v="117.1"/>
    <n v="117.7"/>
    <n v="118.5"/>
    <n v="119"/>
    <n v="119.4"/>
    <n v="119.8"/>
    <n v="120.4"/>
    <n v="120.9"/>
    <n v="121.4"/>
    <n v="122"/>
    <n v="122.5"/>
    <n v="122.9"/>
    <n v="123.2"/>
    <n v="123.7"/>
    <n v="124.1"/>
    <n v="124.5"/>
    <n v="124.8"/>
    <n v="125.4"/>
    <n v="126.1"/>
    <n v="126.4"/>
    <n v="126.9"/>
    <n v="127.1"/>
    <n v="127.4"/>
    <n v="127.8"/>
    <n v="128.1"/>
    <n v="128.4"/>
    <n v="128.5"/>
    <n v="129.4"/>
    <n v="130.19999999999999"/>
    <n v="130.6"/>
    <n v="131.30000000000001"/>
    <n v="132.6"/>
    <n v="133.1"/>
    <n v="133.30000000000001"/>
    <n v="133.80000000000001"/>
    <n v="134.30000000000001"/>
    <n v="135.19999999999999"/>
    <n v="136"/>
    <n v="136.19999999999999"/>
    <n v="137"/>
    <n v="137.69999999999999"/>
    <n v="138.4"/>
    <n v="142.1"/>
    <n v="142.1"/>
    <n v="144.9"/>
    <n v="145.1"/>
    <n v="145.6"/>
    <n v="146.19999999999999"/>
    <n v="146.9"/>
    <n v="147.4"/>
    <n v="147.9"/>
    <n v="148.5"/>
    <n v="149"/>
    <n v="149.4"/>
    <n v="149.9"/>
    <n v="150.4"/>
    <n v="151.19999999999999"/>
    <n v="151.69999999999999"/>
    <n v="152.30000000000001"/>
    <n v="150.69999999999999"/>
    <s v="NA"/>
    <n v="154.4"/>
    <n v="154.4"/>
    <n v="155"/>
    <n v="155.6"/>
    <n v="156.30000000000001"/>
    <n v="157.19999999999999"/>
    <n v="158.30000000000001"/>
    <n v="159.30000000000001"/>
    <n v="161.30000000000001"/>
    <n v="161.69999999999999"/>
    <n v="162.30000000000001"/>
    <n v="165.8"/>
    <n v="166.3"/>
    <n v="167"/>
    <n v="168.4"/>
    <n v="168.4"/>
    <n v="169.1"/>
    <n v="169.9"/>
    <n v="170.6"/>
    <n v="171.4"/>
    <n v="172.2"/>
    <n v="173"/>
    <n v="174"/>
    <n v="174.8"/>
    <n v="175.4"/>
    <n v="176.1"/>
    <n v="176.8"/>
    <n v="177.8"/>
    <n v="178.7"/>
    <n v="179.8"/>
    <n v="181.1"/>
    <n v="182.3"/>
    <n v="184.4"/>
    <n v="184.4"/>
    <n v="185"/>
    <n v="185.7"/>
  </r>
  <r>
    <x v="2"/>
    <x v="4"/>
    <s v="Transport and communication"/>
    <n v="103.2"/>
    <n v="104.2"/>
    <n v="105.1"/>
    <n v="104.7"/>
    <n v="104"/>
    <n v="105.1"/>
    <n v="107.1"/>
    <n v="108"/>
    <n v="109.9"/>
    <n v="109.5"/>
    <n v="109.5"/>
    <n v="109.8"/>
    <n v="110.7"/>
    <n v="111.1"/>
    <n v="111.4"/>
    <n v="111.2"/>
    <n v="111.3"/>
    <n v="111.8"/>
    <n v="113.1"/>
    <n v="112.8"/>
    <n v="112"/>
    <n v="111.8"/>
    <n v="110.8"/>
    <n v="110.1"/>
    <n v="109.4"/>
    <n v="108.7"/>
    <n v="109.9"/>
    <n v="110.1"/>
    <n v="112"/>
    <n v="112.9"/>
    <n v="112.7"/>
    <n v="111.7"/>
    <n v="111.3"/>
    <n v="111.4"/>
    <n v="111.5"/>
    <n v="111.5"/>
    <n v="111.1"/>
    <n v="111.4"/>
    <n v="110.9"/>
    <n v="112.1"/>
    <n v="112.8"/>
    <n v="114.2"/>
    <n v="113.9"/>
    <n v="113.1"/>
    <n v="114.3"/>
    <n v="115.2"/>
    <n v="115.7"/>
    <n v="116"/>
    <n v="117"/>
    <n v="117.4"/>
    <n v="117.6"/>
    <n v="116.6"/>
    <n v="116.7"/>
    <n v="116.5"/>
    <n v="116"/>
    <n v="117.3"/>
    <n v="118.3"/>
    <n v="117.8"/>
    <n v="118.3"/>
    <n v="118.5"/>
    <n v="119.3"/>
    <n v="120.2"/>
    <n v="121"/>
    <n v="121.9"/>
    <n v="122.9"/>
    <n v="123.7"/>
    <n v="123.6"/>
    <n v="124.3"/>
    <n v="126"/>
    <n v="125.5"/>
    <n v="125.5"/>
    <n v="123.6"/>
    <n v="123.3"/>
    <n v="123.9"/>
    <n v="124.6"/>
    <n v="124.9"/>
    <n v="124.6"/>
    <n v="125.6"/>
    <n v="125.8"/>
    <n v="126.1"/>
    <n v="126.3"/>
    <n v="126.6"/>
    <n v="129.80000000000001"/>
    <n v="130.9"/>
    <n v="130.30000000000001"/>
    <n v="129.9"/>
    <s v="NA"/>
    <s v="NA"/>
    <n v="135"/>
    <n v="135"/>
    <n v="138.5"/>
    <n v="139.6"/>
    <n v="140.6"/>
    <n v="140.4"/>
    <n v="140.69999999999999"/>
    <n v="141.9"/>
    <n v="145.1"/>
    <n v="146.19999999999999"/>
    <n v="146.6"/>
    <n v="148.9"/>
    <n v="150.69999999999999"/>
    <n v="153.1"/>
    <n v="154"/>
    <n v="154"/>
    <n v="155.69999999999999"/>
    <n v="154.80000000000001"/>
    <n v="155.69999999999999"/>
    <n v="156.5"/>
    <n v="156.9"/>
    <n v="157.9"/>
    <n v="162.6"/>
    <n v="163"/>
    <n v="161.1"/>
    <n v="161.6"/>
    <n v="161.9"/>
    <n v="162.30000000000001"/>
    <n v="162.9"/>
    <n v="163"/>
    <n v="163.4"/>
    <n v="163.6"/>
    <n v="164.2"/>
    <n v="164.2"/>
    <n v="164.5"/>
    <n v="164.8"/>
  </r>
  <r>
    <x v="2"/>
    <x v="5"/>
    <s v="Recreation and amusement"/>
    <n v="103.1"/>
    <n v="103.6"/>
    <n v="103.7"/>
    <n v="104.2"/>
    <n v="104.8"/>
    <n v="105.4"/>
    <n v="106.1"/>
    <n v="106.6"/>
    <n v="107.5"/>
    <n v="108.1"/>
    <n v="108.6"/>
    <n v="109"/>
    <n v="109.7"/>
    <n v="110.1"/>
    <n v="110.6"/>
    <n v="110.9"/>
    <n v="111.2"/>
    <n v="111.6"/>
    <n v="112.1"/>
    <n v="112.6"/>
    <n v="113.1"/>
    <n v="113.3"/>
    <n v="113.7"/>
    <n v="113.9"/>
    <n v="114.3"/>
    <n v="114.9"/>
    <n v="115.4"/>
    <n v="115.9"/>
    <n v="116.3"/>
    <n v="116.9"/>
    <n v="117.2"/>
    <n v="117.8"/>
    <n v="118.3"/>
    <n v="118.7"/>
    <n v="119.2"/>
    <n v="119.6"/>
    <n v="119.8"/>
    <n v="120.3"/>
    <n v="120.6"/>
    <n v="121.1"/>
    <n v="121.5"/>
    <n v="121.7"/>
    <n v="122.4"/>
    <n v="122.7"/>
    <n v="122.9"/>
    <n v="123.5"/>
    <n v="124"/>
    <n v="124.2"/>
    <n v="124.2"/>
    <n v="124.6"/>
    <n v="125"/>
    <n v="125.1"/>
    <n v="125.7"/>
    <n v="125.9"/>
    <n v="126.6"/>
    <n v="127.3"/>
    <n v="127.9"/>
    <n v="128.4"/>
    <n v="128.9"/>
    <n v="129"/>
    <n v="129.69999999999999"/>
    <n v="129.9"/>
    <n v="130.4"/>
    <n v="131.30000000000001"/>
    <n v="131.80000000000001"/>
    <n v="132.6"/>
    <n v="133.1"/>
    <n v="133.6"/>
    <n v="134.5"/>
    <n v="136.5"/>
    <n v="136.5"/>
    <n v="136.80000000000001"/>
    <n v="136.69999999999999"/>
    <n v="137.1"/>
    <n v="137.69999999999999"/>
    <n v="139.19999999999999"/>
    <n v="139.6"/>
    <n v="140.5"/>
    <n v="140.9"/>
    <n v="141.30000000000001"/>
    <n v="141.69999999999999"/>
    <n v="142.1"/>
    <n v="142.30000000000001"/>
    <n v="142.80000000000001"/>
    <n v="143.19999999999999"/>
    <n v="143.69999999999999"/>
    <s v="NA"/>
    <s v="NA"/>
    <n v="148.30000000000001"/>
    <n v="148.30000000000001"/>
    <n v="146"/>
    <n v="146.6"/>
    <n v="146.5"/>
    <n v="148.4"/>
    <n v="148.5"/>
    <n v="149.6"/>
    <n v="151.5"/>
    <n v="152.6"/>
    <n v="153.19999999999999"/>
    <n v="155.80000000000001"/>
    <n v="154.9"/>
    <n v="155.30000000000001"/>
    <n v="157.6"/>
    <n v="157.69999999999999"/>
    <n v="158.6"/>
    <n v="159.80000000000001"/>
    <n v="160.6"/>
    <n v="161.19999999999999"/>
    <n v="162.1"/>
    <n v="163.30000000000001"/>
    <n v="164.4"/>
    <n v="165.1"/>
    <n v="165.8"/>
    <n v="166.3"/>
    <n v="166.9"/>
    <n v="167.6"/>
    <n v="168.2"/>
    <n v="168.5"/>
    <n v="168.9"/>
    <n v="169.5"/>
    <n v="170.3"/>
    <n v="170.3"/>
    <n v="170.7"/>
    <n v="171.2"/>
  </r>
  <r>
    <x v="2"/>
    <x v="6"/>
    <s v="Education"/>
    <n v="103.6"/>
    <n v="103.9"/>
    <n v="104"/>
    <n v="105"/>
    <n v="105.6"/>
    <n v="107.4"/>
    <n v="109.1"/>
    <n v="109.9"/>
    <n v="110.6"/>
    <n v="110.8"/>
    <n v="111.2"/>
    <n v="111.5"/>
    <n v="111.6"/>
    <n v="111.8"/>
    <n v="112"/>
    <n v="112.7"/>
    <n v="113"/>
    <n v="114.8"/>
    <n v="116.8"/>
    <n v="118"/>
    <n v="118.6"/>
    <n v="118.8"/>
    <n v="119"/>
    <n v="119.5"/>
    <n v="119.7"/>
    <n v="119.7"/>
    <n v="120.1"/>
    <n v="121"/>
    <n v="121.4"/>
    <n v="123.1"/>
    <n v="124.4"/>
    <n v="125.1"/>
    <n v="125.7"/>
    <n v="125.9"/>
    <n v="126.3"/>
    <n v="126.2"/>
    <n v="126.3"/>
    <n v="126.6"/>
    <n v="126.9"/>
    <n v="127.7"/>
    <n v="128.5"/>
    <n v="129.69999999999999"/>
    <n v="130.80000000000001"/>
    <n v="131.69999999999999"/>
    <n v="131.80000000000001"/>
    <n v="132.4"/>
    <n v="132.80000000000001"/>
    <n v="133.1"/>
    <n v="133.30000000000001"/>
    <n v="133.4"/>
    <n v="133.80000000000001"/>
    <n v="134.5"/>
    <n v="134.80000000000001"/>
    <n v="135.4"/>
    <n v="136.80000000000001"/>
    <n v="137.6"/>
    <n v="137.4"/>
    <n v="137.9"/>
    <n v="138.6"/>
    <n v="138.5"/>
    <n v="139"/>
    <n v="139"/>
    <n v="139.80000000000001"/>
    <n v="141.4"/>
    <n v="142.1"/>
    <n v="142.80000000000001"/>
    <n v="144.69999999999999"/>
    <n v="146"/>
    <n v="146.19999999999999"/>
    <n v="147.80000000000001"/>
    <n v="147.80000000000001"/>
    <n v="150.1"/>
    <n v="150.19999999999999"/>
    <n v="150.30000000000001"/>
    <n v="150.30000000000001"/>
    <n v="151.6"/>
    <n v="152.5"/>
    <n v="154"/>
    <n v="154.9"/>
    <n v="155.19999999999999"/>
    <n v="155.4"/>
    <n v="155.5"/>
    <n v="155.69999999999999"/>
    <n v="156.1"/>
    <n v="156.19999999999999"/>
    <n v="156.1"/>
    <s v="NA"/>
    <s v="NA"/>
    <n v="156.4"/>
    <n v="156.4"/>
    <n v="158.5"/>
    <n v="157.5"/>
    <n v="158.5"/>
    <n v="158.6"/>
    <n v="159.4"/>
    <n v="159.19999999999999"/>
    <n v="159.5"/>
    <n v="160.19999999999999"/>
    <n v="160.30000000000001"/>
    <n v="161.19999999999999"/>
    <n v="161.69999999999999"/>
    <n v="163.19999999999999"/>
    <n v="163.80000000000001"/>
    <n v="163.69999999999999"/>
    <n v="163.9"/>
    <n v="164.3"/>
    <n v="164.4"/>
    <n v="164.7"/>
    <n v="165.4"/>
    <n v="166"/>
    <n v="166.9"/>
    <n v="167.9"/>
    <n v="169"/>
    <n v="171.4"/>
    <n v="172.3"/>
    <n v="173.1"/>
    <n v="173.4"/>
    <n v="173.7"/>
    <n v="174.1"/>
    <n v="174.3"/>
    <n v="175"/>
    <n v="175"/>
    <n v="176.4"/>
    <n v="177.1"/>
  </r>
  <r>
    <x v="2"/>
    <x v="3"/>
    <s v="Personal care and effects"/>
    <n v="104.5"/>
    <n v="104.5"/>
    <n v="104.3"/>
    <n v="102.9"/>
    <n v="102.3"/>
    <n v="102.8"/>
    <n v="102.8"/>
    <n v="105.4"/>
    <n v="106.8"/>
    <n v="107.4"/>
    <n v="108.1"/>
    <n v="107.9"/>
    <n v="108.2"/>
    <n v="108.7"/>
    <n v="109"/>
    <n v="109"/>
    <n v="109.1"/>
    <n v="108.3"/>
    <n v="109.2"/>
    <n v="109.9"/>
    <n v="109.5"/>
    <n v="109.6"/>
    <n v="109.1"/>
    <n v="109.8"/>
    <n v="110.7"/>
    <n v="111.2"/>
    <n v="111"/>
    <n v="111.7"/>
    <n v="112.3"/>
    <n v="112.8"/>
    <n v="112.3"/>
    <n v="112.3"/>
    <n v="113.4"/>
    <n v="113.9"/>
    <n v="113.8"/>
    <n v="113.7"/>
    <n v="114.5"/>
    <n v="116.6"/>
    <n v="117.3"/>
    <n v="118.1"/>
    <n v="119.2"/>
    <n v="119.4"/>
    <n v="120.5"/>
    <n v="121.5"/>
    <n v="122.1"/>
    <n v="122.1"/>
    <n v="122.6"/>
    <n v="121.1"/>
    <n v="121.7"/>
    <n v="122.6"/>
    <n v="122.6"/>
    <n v="123.1"/>
    <n v="123"/>
    <n v="123.4"/>
    <n v="123.6"/>
    <n v="124.5"/>
    <n v="125.7"/>
    <n v="126.2"/>
    <n v="126.8"/>
    <n v="126.5"/>
    <n v="127.3"/>
    <n v="127.7"/>
    <n v="128.19999999999999"/>
    <n v="129.19999999999999"/>
    <n v="129.9"/>
    <n v="130.1"/>
    <n v="130.1"/>
    <n v="130.1"/>
    <n v="130.9"/>
    <n v="132"/>
    <n v="132"/>
    <n v="132.19999999999999"/>
    <n v="132.80000000000001"/>
    <n v="134.1"/>
    <n v="133.4"/>
    <n v="133.4"/>
    <n v="134.30000000000001"/>
    <n v="135.69999999999999"/>
    <n v="138.4"/>
    <n v="139.69999999999999"/>
    <n v="140"/>
    <n v="140.30000000000001"/>
    <n v="140.4"/>
    <n v="142.30000000000001"/>
    <n v="143.4"/>
    <n v="145.19999999999999"/>
    <s v="NA"/>
    <s v="NA"/>
    <n v="151.6"/>
    <n v="151.6"/>
    <n v="154.30000000000001"/>
    <n v="158.4"/>
    <n v="157"/>
    <n v="156.9"/>
    <n v="157.1"/>
    <n v="156.80000000000001"/>
    <n v="155.80000000000001"/>
    <n v="153.80000000000001"/>
    <n v="155.4"/>
    <n v="158.6"/>
    <n v="158.80000000000001"/>
    <n v="160.1"/>
    <n v="160"/>
    <n v="160"/>
    <n v="160.80000000000001"/>
    <n v="162.19999999999999"/>
    <n v="162.6"/>
    <n v="163"/>
    <n v="164.4"/>
    <n v="167.2"/>
    <n v="168.8"/>
    <n v="168.4"/>
    <n v="169.4"/>
    <n v="169.7"/>
    <n v="171.2"/>
    <n v="170.9"/>
    <n v="172.1"/>
    <n v="173.6"/>
    <n v="175.8"/>
    <n v="178.6"/>
    <n v="181"/>
    <n v="181"/>
    <n v="184"/>
    <n v="185.2"/>
  </r>
  <r>
    <x v="2"/>
    <x v="7"/>
    <s v="Miscellaneous"/>
    <n v="103.9"/>
    <n v="104.4"/>
    <n v="104.7"/>
    <n v="104.8"/>
    <n v="104.8"/>
    <n v="105.8"/>
    <n v="106.9"/>
    <n v="107.9"/>
    <n v="109"/>
    <n v="109.2"/>
    <n v="109.7"/>
    <n v="110"/>
    <n v="110.6"/>
    <n v="110.9"/>
    <n v="111.3"/>
    <n v="111.5"/>
    <n v="111.8"/>
    <n v="112.3"/>
    <n v="113.3"/>
    <n v="113.7"/>
    <n v="113.7"/>
    <n v="113.9"/>
    <n v="113.8"/>
    <n v="113.8"/>
    <n v="114"/>
    <n v="114.1"/>
    <n v="114.7"/>
    <n v="115.1"/>
    <n v="116.1"/>
    <n v="117"/>
    <n v="117.2"/>
    <n v="117.2"/>
    <n v="117.5"/>
    <n v="117.9"/>
    <n v="118.1"/>
    <n v="118.3"/>
    <n v="118.5"/>
    <n v="119.1"/>
    <n v="119.3"/>
    <n v="120"/>
    <n v="120.7"/>
    <n v="121.5"/>
    <n v="121.9"/>
    <n v="122.1"/>
    <n v="122.8"/>
    <n v="123.4"/>
    <n v="123.8"/>
    <n v="123.9"/>
    <n v="124.4"/>
    <n v="124.8"/>
    <n v="125.1"/>
    <n v="125.1"/>
    <n v="125.3"/>
    <n v="125.5"/>
    <n v="125.9"/>
    <n v="126.8"/>
    <n v="127.5"/>
    <n v="127.7"/>
    <n v="128.4"/>
    <n v="128.6"/>
    <n v="129.1"/>
    <n v="129.6"/>
    <n v="130.30000000000001"/>
    <n v="131.30000000000001"/>
    <n v="132.1"/>
    <n v="132.6"/>
    <n v="133.19999999999999"/>
    <n v="133.9"/>
    <n v="134.69999999999999"/>
    <n v="136.30000000000001"/>
    <n v="136.30000000000001"/>
    <n v="136.80000000000001"/>
    <n v="136.9"/>
    <n v="137.4"/>
    <n v="137.69999999999999"/>
    <n v="138.19999999999999"/>
    <n v="138.6"/>
    <n v="139.5"/>
    <n v="140.19999999999999"/>
    <n v="140.69999999999999"/>
    <n v="141"/>
    <n v="141.30000000000001"/>
    <n v="142.5"/>
    <n v="143.4"/>
    <n v="143.6"/>
    <n v="143.80000000000001"/>
    <s v="NA"/>
    <s v="NA"/>
    <n v="147"/>
    <n v="147"/>
    <n v="149"/>
    <n v="150"/>
    <n v="150.4"/>
    <n v="150.69999999999999"/>
    <n v="151.19999999999999"/>
    <n v="151.9"/>
    <n v="153.4"/>
    <n v="153.80000000000001"/>
    <n v="154.4"/>
    <n v="156.80000000000001"/>
    <n v="157.6"/>
    <n v="159"/>
    <n v="160"/>
    <n v="160"/>
    <n v="161"/>
    <n v="161.4"/>
    <n v="162"/>
    <n v="162.69999999999999"/>
    <n v="163.5"/>
    <n v="164.6"/>
    <n v="166.8"/>
    <n v="167.5"/>
    <n v="167.5"/>
    <n v="168.4"/>
    <n v="169.1"/>
    <n v="169.7"/>
    <n v="170.5"/>
    <n v="171.1"/>
    <n v="172"/>
    <n v="172.8"/>
    <n v="174.1"/>
    <n v="174.1"/>
    <n v="175"/>
    <n v="175.7"/>
  </r>
  <r>
    <x v="2"/>
    <x v="8"/>
    <s v="General index"/>
    <n v="104.6"/>
    <n v="105.3"/>
    <n v="105.5"/>
    <n v="106.1"/>
    <n v="106.9"/>
    <n v="109.3"/>
    <n v="111"/>
    <n v="112.4"/>
    <n v="113.7"/>
    <n v="114.8"/>
    <n v="116.3"/>
    <n v="114.5"/>
    <n v="113.6"/>
    <n v="113.6"/>
    <n v="114.2"/>
    <n v="115.1"/>
    <n v="115.8"/>
    <n v="116.7"/>
    <n v="119.2"/>
    <n v="120.3"/>
    <n v="120.1"/>
    <n v="120.1"/>
    <n v="120.1"/>
    <n v="119.4"/>
    <n v="119.5"/>
    <n v="119.7"/>
    <n v="120.2"/>
    <n v="120.7"/>
    <n v="121.6"/>
    <n v="123"/>
    <n v="123.6"/>
    <n v="124.8"/>
    <n v="125.4"/>
    <n v="126.1"/>
    <n v="126.6"/>
    <n v="126.1"/>
    <n v="126.3"/>
    <n v="126"/>
    <n v="126"/>
    <n v="127.3"/>
    <n v="128.6"/>
    <n v="130.1"/>
    <n v="131.1"/>
    <n v="131.1"/>
    <n v="130.9"/>
    <n v="131.4"/>
    <n v="131.19999999999999"/>
    <n v="130.4"/>
    <n v="130.30000000000001"/>
    <n v="130.6"/>
    <n v="130.9"/>
    <n v="131.1"/>
    <n v="131.4"/>
    <n v="132"/>
    <n v="134.19999999999999"/>
    <n v="135.4"/>
    <n v="135.19999999999999"/>
    <n v="136.1"/>
    <n v="137.6"/>
    <n v="137.19999999999999"/>
    <n v="136.9"/>
    <n v="136.4"/>
    <n v="136.5"/>
    <n v="137.1"/>
    <n v="137.80000000000001"/>
    <n v="138.5"/>
    <n v="139.80000000000001"/>
    <n v="140.4"/>
    <n v="140.19999999999999"/>
    <n v="140.80000000000001"/>
    <n v="140.80000000000001"/>
    <n v="140.1"/>
    <n v="139.6"/>
    <n v="139.9"/>
    <n v="140.4"/>
    <n v="142"/>
    <n v="142.9"/>
    <n v="144.19999999999999"/>
    <n v="145"/>
    <n v="145.80000000000001"/>
    <n v="147.19999999999999"/>
    <n v="148.6"/>
    <n v="150.4"/>
    <n v="150.19999999999999"/>
    <n v="149.1"/>
    <n v="148.6"/>
    <s v="NA"/>
    <s v="NA"/>
    <n v="151.80000000000001"/>
    <n v="151.80000000000001"/>
    <n v="153.9"/>
    <n v="154.69999999999999"/>
    <n v="156.4"/>
    <n v="158.4"/>
    <n v="158.9"/>
    <n v="157.30000000000001"/>
    <n v="156.6"/>
    <n v="156.80000000000001"/>
    <n v="157.80000000000001"/>
    <n v="160.4"/>
    <n v="161.30000000000001"/>
    <n v="162.5"/>
    <n v="163.19999999999999"/>
    <n v="163.19999999999999"/>
    <n v="165.5"/>
    <n v="166.7"/>
    <n v="166.2"/>
    <n v="165.7"/>
    <n v="166.1"/>
    <n v="167.7"/>
    <n v="170.1"/>
    <n v="171.7"/>
    <n v="172.6"/>
    <n v="173.4"/>
    <n v="174.3"/>
    <n v="175.3"/>
    <n v="176.7"/>
    <n v="176.5"/>
    <n v="175.7"/>
    <n v="176.5"/>
    <n v="177.2"/>
    <n v="177.2"/>
    <n v="178.1"/>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x v="0"/>
    <n v="107.5"/>
    <n v="106.3"/>
    <n v="108.1"/>
    <n v="104.9"/>
    <n v="106.1"/>
    <n v="103.9"/>
    <n v="101.9"/>
    <n v="106.1"/>
    <n v="106.8"/>
    <n v="103.1"/>
    <n v="104.8"/>
    <n v="106.7"/>
    <n v="105.5"/>
    <n v="105.1"/>
    <n v="106.5"/>
    <n v="105.8"/>
    <n v="106.4"/>
    <s v="NA"/>
    <n v="105.5"/>
    <n v="104.8"/>
    <n v="104"/>
    <n v="103.3"/>
    <n v="103.4"/>
    <n v="103.8"/>
    <n v="104.7"/>
    <n v="104"/>
    <n v="105.1"/>
    <n v="1476.7999999999997"/>
    <n v="318.70000000000005"/>
    <n v="210.3"/>
    <n v="208.7"/>
    <n v="103.3"/>
    <n v="103.4"/>
    <n v="103.8"/>
  </r>
  <r>
    <s v="Urban"/>
    <x v="0"/>
    <x v="0"/>
    <x v="0"/>
    <n v="110.5"/>
    <n v="109.1"/>
    <n v="113"/>
    <n v="103.6"/>
    <n v="103.4"/>
    <n v="102.3"/>
    <n v="102.9"/>
    <n v="105.8"/>
    <n v="105.1"/>
    <n v="101.8"/>
    <n v="105.1"/>
    <n v="107.9"/>
    <n v="105.9"/>
    <n v="105.2"/>
    <n v="105.9"/>
    <n v="105"/>
    <n v="105.8"/>
    <n v="100.3"/>
    <n v="105.4"/>
    <n v="104.8"/>
    <n v="104.1"/>
    <n v="103.2"/>
    <n v="102.9"/>
    <n v="103.5"/>
    <n v="104.3"/>
    <n v="103.7"/>
    <n v="104"/>
    <n v="1481.6000000000001"/>
    <n v="316.7"/>
    <n v="310.5"/>
    <n v="208.39999999999998"/>
    <n v="103.2"/>
    <n v="102.9"/>
    <n v="103.5"/>
  </r>
  <r>
    <s v="Rural+Urban"/>
    <x v="0"/>
    <x v="0"/>
    <x v="0"/>
    <n v="108.4"/>
    <n v="107.3"/>
    <n v="110"/>
    <n v="104.4"/>
    <n v="105.1"/>
    <n v="103.2"/>
    <n v="102.2"/>
    <n v="106"/>
    <n v="106.2"/>
    <n v="102.7"/>
    <n v="104.9"/>
    <n v="107.3"/>
    <n v="105.6"/>
    <n v="105.1"/>
    <n v="106.3"/>
    <n v="105.5"/>
    <n v="106.2"/>
    <n v="100.3"/>
    <n v="105.5"/>
    <n v="104.8"/>
    <n v="104"/>
    <n v="103.2"/>
    <n v="103.1"/>
    <n v="103.6"/>
    <n v="104.5"/>
    <n v="103.9"/>
    <n v="104.6"/>
    <n v="1478.4"/>
    <n v="318"/>
    <n v="310.60000000000002"/>
    <n v="208.5"/>
    <n v="103.2"/>
    <n v="103.1"/>
    <n v="103.6"/>
  </r>
  <r>
    <s v="Rural"/>
    <x v="0"/>
    <x v="1"/>
    <x v="1"/>
    <n v="109.2"/>
    <n v="108.7"/>
    <n v="110.2"/>
    <n v="105.4"/>
    <n v="106.7"/>
    <n v="104"/>
    <n v="102.4"/>
    <n v="105.9"/>
    <n v="105.7"/>
    <n v="103.1"/>
    <n v="105.1"/>
    <n v="107.7"/>
    <n v="106.3"/>
    <n v="105.6"/>
    <n v="107.1"/>
    <n v="106.3"/>
    <n v="107"/>
    <s v="NA"/>
    <n v="106.2"/>
    <n v="105.2"/>
    <n v="104.4"/>
    <n v="103.9"/>
    <n v="104"/>
    <n v="104.1"/>
    <n v="104.6"/>
    <n v="104.4"/>
    <n v="105.8"/>
    <n v="1485.9999999999998"/>
    <n v="320.39999999999998"/>
    <n v="211.4"/>
    <n v="209"/>
    <n v="103.9"/>
    <n v="104"/>
    <n v="104.1"/>
  </r>
  <r>
    <s v="Urban"/>
    <x v="0"/>
    <x v="1"/>
    <x v="1"/>
    <n v="112.9"/>
    <n v="112.9"/>
    <n v="116.9"/>
    <n v="104"/>
    <n v="103.5"/>
    <n v="103.1"/>
    <n v="104.9"/>
    <n v="104.1"/>
    <n v="103.8"/>
    <n v="102.3"/>
    <n v="106"/>
    <n v="109"/>
    <n v="107.2"/>
    <n v="106"/>
    <n v="106.6"/>
    <n v="105.5"/>
    <n v="106.4"/>
    <n v="100.4"/>
    <n v="105.7"/>
    <n v="105.2"/>
    <n v="104.7"/>
    <n v="104.4"/>
    <n v="103.3"/>
    <n v="103.7"/>
    <n v="104.3"/>
    <n v="104.3"/>
    <n v="104.7"/>
    <n v="1496.6000000000001"/>
    <n v="318.5"/>
    <n v="311.3"/>
    <n v="209"/>
    <n v="104.4"/>
    <n v="103.3"/>
    <n v="103.7"/>
  </r>
  <r>
    <s v="Rural+Urban"/>
    <x v="0"/>
    <x v="1"/>
    <x v="1"/>
    <n v="110.4"/>
    <n v="110.2"/>
    <n v="112.8"/>
    <n v="104.9"/>
    <n v="105.5"/>
    <n v="103.6"/>
    <n v="103.2"/>
    <n v="105.3"/>
    <n v="105.1"/>
    <n v="102.8"/>
    <n v="105.5"/>
    <n v="108.3"/>
    <n v="106.6"/>
    <n v="105.7"/>
    <n v="106.9"/>
    <n v="106"/>
    <n v="106.8"/>
    <n v="100.4"/>
    <n v="106"/>
    <n v="105.2"/>
    <n v="104.5"/>
    <n v="104.2"/>
    <n v="103.6"/>
    <n v="103.9"/>
    <n v="104.5"/>
    <n v="104.4"/>
    <n v="105.3"/>
    <n v="1489.9"/>
    <n v="319.7"/>
    <n v="311.60000000000002"/>
    <n v="209"/>
    <n v="104.2"/>
    <n v="103.6"/>
    <n v="103.9"/>
  </r>
  <r>
    <s v="Rural"/>
    <x v="0"/>
    <x v="2"/>
    <x v="2"/>
    <n v="110.2"/>
    <n v="108.8"/>
    <n v="109.9"/>
    <n v="105.6"/>
    <n v="106.2"/>
    <n v="105.7"/>
    <n v="101.4"/>
    <n v="105.7"/>
    <n v="105"/>
    <n v="103.3"/>
    <n v="105.6"/>
    <n v="108.2"/>
    <n v="106.6"/>
    <n v="106.5"/>
    <n v="107.6"/>
    <n v="106.8"/>
    <n v="107.5"/>
    <s v="NA"/>
    <n v="106.1"/>
    <n v="105.6"/>
    <n v="104.7"/>
    <n v="104.6"/>
    <n v="104"/>
    <n v="104.3"/>
    <n v="104.3"/>
    <n v="104.6"/>
    <n v="106"/>
    <n v="1488.7"/>
    <n v="321.89999999999998"/>
    <n v="211.7"/>
    <n v="209"/>
    <n v="104.6"/>
    <n v="104"/>
    <n v="104.3"/>
  </r>
  <r>
    <s v="Urban"/>
    <x v="0"/>
    <x v="2"/>
    <x v="2"/>
    <n v="113.9"/>
    <n v="111.4"/>
    <n v="113.2"/>
    <n v="104.3"/>
    <n v="102.7"/>
    <n v="104.9"/>
    <n v="103.8"/>
    <n v="103.5"/>
    <n v="102.6"/>
    <n v="102.4"/>
    <n v="107"/>
    <n v="109.8"/>
    <n v="107.3"/>
    <n v="106.8"/>
    <n v="107.2"/>
    <n v="106"/>
    <n v="107"/>
    <n v="100.4"/>
    <n v="106"/>
    <n v="105.7"/>
    <n v="105.2"/>
    <n v="105.5"/>
    <n v="103.5"/>
    <n v="103.8"/>
    <n v="104.2"/>
    <n v="104.9"/>
    <n v="105"/>
    <n v="1493.6"/>
    <n v="320.2"/>
    <n v="312.10000000000002"/>
    <n v="209.4"/>
    <n v="105.5"/>
    <n v="103.5"/>
    <n v="103.8"/>
  </r>
  <r>
    <s v="Rural+Urban"/>
    <x v="0"/>
    <x v="2"/>
    <x v="2"/>
    <n v="111.4"/>
    <n v="109.7"/>
    <n v="111.2"/>
    <n v="105.1"/>
    <n v="104.9"/>
    <n v="105.3"/>
    <n v="102.2"/>
    <n v="105"/>
    <n v="104.2"/>
    <n v="103"/>
    <n v="106.2"/>
    <n v="108.9"/>
    <n v="106.9"/>
    <n v="106.6"/>
    <n v="107.4"/>
    <n v="106.5"/>
    <n v="107.3"/>
    <n v="100.4"/>
    <n v="106.1"/>
    <n v="105.6"/>
    <n v="104.9"/>
    <n v="105.1"/>
    <n v="103.7"/>
    <n v="104"/>
    <n v="104.3"/>
    <n v="104.7"/>
    <n v="105.5"/>
    <n v="1490.6000000000001"/>
    <n v="321.2"/>
    <n v="312.10000000000002"/>
    <n v="209.2"/>
    <n v="105.1"/>
    <n v="103.7"/>
    <n v="104"/>
  </r>
  <r>
    <s v="Rural"/>
    <x v="0"/>
    <x v="3"/>
    <x v="3"/>
    <n v="110.2"/>
    <n v="109.5"/>
    <n v="106.9"/>
    <n v="106.3"/>
    <n v="105.7"/>
    <n v="108.3"/>
    <n v="103.4"/>
    <n v="105.7"/>
    <n v="104.2"/>
    <n v="103.2"/>
    <n v="106.5"/>
    <n v="108.8"/>
    <n v="107.1"/>
    <n v="107.1"/>
    <n v="108.1"/>
    <n v="107.4"/>
    <n v="108"/>
    <s v="NA"/>
    <n v="106.5"/>
    <n v="106.1"/>
    <n v="105.1"/>
    <n v="104.4"/>
    <n v="104.5"/>
    <n v="104.8"/>
    <n v="102.7"/>
    <n v="104.6"/>
    <n v="106.4"/>
    <n v="1492.8999999999999"/>
    <n v="323.5"/>
    <n v="212.6"/>
    <n v="207.8"/>
    <n v="104.4"/>
    <n v="104.5"/>
    <n v="104.8"/>
  </r>
  <r>
    <s v="Urban"/>
    <x v="0"/>
    <x v="3"/>
    <x v="3"/>
    <n v="114.6"/>
    <n v="113.4"/>
    <n v="106"/>
    <n v="104.7"/>
    <n v="102.1"/>
    <n v="109.5"/>
    <n v="109.7"/>
    <n v="104.6"/>
    <n v="102"/>
    <n v="103.5"/>
    <n v="108.2"/>
    <n v="110.6"/>
    <n v="108.8"/>
    <n v="108.5"/>
    <n v="107.9"/>
    <n v="106.4"/>
    <n v="107.7"/>
    <n v="100.5"/>
    <n v="106.4"/>
    <n v="106.5"/>
    <n v="105.7"/>
    <n v="105"/>
    <n v="104"/>
    <n v="105.2"/>
    <n v="103.2"/>
    <n v="105.1"/>
    <n v="105.7"/>
    <n v="1506.1999999999998"/>
    <n v="322"/>
    <n v="313.39999999999998"/>
    <n v="208.9"/>
    <n v="105"/>
    <n v="104"/>
    <n v="105.2"/>
  </r>
  <r>
    <s v="Rural+Urban"/>
    <x v="0"/>
    <x v="3"/>
    <x v="3"/>
    <n v="111.6"/>
    <n v="110.9"/>
    <n v="106.6"/>
    <n v="105.7"/>
    <n v="104.4"/>
    <n v="108.9"/>
    <n v="105.5"/>
    <n v="105.3"/>
    <n v="103.5"/>
    <n v="103.3"/>
    <n v="107.2"/>
    <n v="109.6"/>
    <n v="107.7"/>
    <n v="107.5"/>
    <n v="108"/>
    <n v="107"/>
    <n v="107.9"/>
    <n v="100.5"/>
    <n v="106.5"/>
    <n v="106.3"/>
    <n v="105.3"/>
    <n v="104.7"/>
    <n v="104.2"/>
    <n v="105"/>
    <n v="102.9"/>
    <n v="104.8"/>
    <n v="106.1"/>
    <n v="1497.7"/>
    <n v="322.89999999999998"/>
    <n v="313.3"/>
    <n v="208.2"/>
    <n v="104.7"/>
    <n v="104.2"/>
    <n v="105"/>
  </r>
  <r>
    <s v="Rural"/>
    <x v="0"/>
    <x v="4"/>
    <x v="4"/>
    <n v="110.9"/>
    <n v="109.8"/>
    <n v="105.9"/>
    <n v="107.5"/>
    <n v="105.3"/>
    <n v="108.1"/>
    <n v="107.3"/>
    <n v="106.1"/>
    <n v="103.7"/>
    <n v="104"/>
    <n v="107.4"/>
    <n v="109.9"/>
    <n v="108.1"/>
    <n v="108.1"/>
    <n v="108.8"/>
    <n v="107.9"/>
    <n v="108.6"/>
    <s v="NA"/>
    <n v="107.5"/>
    <n v="106.8"/>
    <n v="105.7"/>
    <n v="104.1"/>
    <n v="105"/>
    <n v="105.5"/>
    <n v="102.1"/>
    <n v="104.8"/>
    <n v="107.2"/>
    <n v="1502.1"/>
    <n v="325.29999999999995"/>
    <n v="214.3"/>
    <n v="207.8"/>
    <n v="104.1"/>
    <n v="105"/>
    <n v="105.5"/>
  </r>
  <r>
    <s v="Urban"/>
    <x v="0"/>
    <x v="4"/>
    <x v="4"/>
    <n v="115.4"/>
    <n v="114.2"/>
    <n v="102.7"/>
    <n v="105.5"/>
    <n v="101.5"/>
    <n v="110.6"/>
    <n v="123.7"/>
    <n v="105.2"/>
    <n v="101.9"/>
    <n v="105"/>
    <n v="109.1"/>
    <n v="111.3"/>
    <n v="111.1"/>
    <n v="109.8"/>
    <n v="108.5"/>
    <n v="106.7"/>
    <n v="108.3"/>
    <n v="100.5"/>
    <n v="107.2"/>
    <n v="107.1"/>
    <n v="106.2"/>
    <n v="103.9"/>
    <n v="104.6"/>
    <n v="105.7"/>
    <n v="102.6"/>
    <n v="104.9"/>
    <n v="106.6"/>
    <n v="1526.9999999999998"/>
    <n v="323.5"/>
    <n v="314.79999999999995"/>
    <n v="208.8"/>
    <n v="103.9"/>
    <n v="104.6"/>
    <n v="105.7"/>
  </r>
  <r>
    <s v="Rural+Urban"/>
    <x v="0"/>
    <x v="4"/>
    <x v="4"/>
    <n v="112.3"/>
    <n v="111.3"/>
    <n v="104.7"/>
    <n v="106.8"/>
    <n v="103.9"/>
    <n v="109.3"/>
    <n v="112.9"/>
    <n v="105.8"/>
    <n v="103.1"/>
    <n v="104.3"/>
    <n v="108.1"/>
    <n v="110.5"/>
    <n v="109.2"/>
    <n v="108.6"/>
    <n v="108.7"/>
    <n v="107.4"/>
    <n v="108.5"/>
    <n v="100.5"/>
    <n v="107.4"/>
    <n v="106.9"/>
    <n v="105.9"/>
    <n v="104"/>
    <n v="104.8"/>
    <n v="105.6"/>
    <n v="102.3"/>
    <n v="104.8"/>
    <n v="106.9"/>
    <n v="1510.7999999999997"/>
    <n v="324.60000000000002"/>
    <n v="314.8"/>
    <n v="208.2"/>
    <n v="104"/>
    <n v="104.8"/>
    <n v="105.6"/>
  </r>
  <r>
    <s v="Rural"/>
    <x v="0"/>
    <x v="5"/>
    <x v="5"/>
    <n v="112.3"/>
    <n v="112.1"/>
    <n v="108.1"/>
    <n v="108.3"/>
    <n v="105.9"/>
    <n v="109.2"/>
    <n v="118"/>
    <n v="106.8"/>
    <n v="104.1"/>
    <n v="105.4"/>
    <n v="108.2"/>
    <n v="111"/>
    <n v="110.6"/>
    <n v="109"/>
    <n v="109.7"/>
    <n v="108.8"/>
    <n v="109.5"/>
    <s v="NA"/>
    <n v="108.5"/>
    <n v="107.5"/>
    <n v="106.3"/>
    <n v="105"/>
    <n v="105.6"/>
    <n v="106.5"/>
    <n v="102.5"/>
    <n v="105.5"/>
    <n v="108.9"/>
    <n v="1529"/>
    <n v="328"/>
    <n v="216"/>
    <n v="208.8"/>
    <n v="105"/>
    <n v="105.6"/>
    <n v="106.5"/>
  </r>
  <r>
    <s v="Urban"/>
    <x v="0"/>
    <x v="5"/>
    <x v="5"/>
    <n v="117"/>
    <n v="120.1"/>
    <n v="112.5"/>
    <n v="107.3"/>
    <n v="101.3"/>
    <n v="112.4"/>
    <n v="143.6"/>
    <n v="105.4"/>
    <n v="101.4"/>
    <n v="106.4"/>
    <n v="110"/>
    <n v="112.2"/>
    <n v="115"/>
    <n v="110.9"/>
    <n v="109.2"/>
    <n v="107.2"/>
    <n v="108.9"/>
    <n v="106.6"/>
    <n v="108"/>
    <n v="107.7"/>
    <n v="106.5"/>
    <n v="105.2"/>
    <n v="105.2"/>
    <n v="108.1"/>
    <n v="103.3"/>
    <n v="106.1"/>
    <n v="109.7"/>
    <n v="1575.5000000000002"/>
    <n v="325.3"/>
    <n v="322.3"/>
    <n v="209.8"/>
    <n v="105.2"/>
    <n v="105.2"/>
    <n v="108.1"/>
  </r>
  <r>
    <s v="Rural+Urban"/>
    <x v="0"/>
    <x v="5"/>
    <x v="5"/>
    <n v="113.8"/>
    <n v="114.9"/>
    <n v="109.8"/>
    <n v="107.9"/>
    <n v="104.2"/>
    <n v="110.7"/>
    <n v="126.7"/>
    <n v="106.3"/>
    <n v="103.2"/>
    <n v="105.7"/>
    <n v="109"/>
    <n v="111.6"/>
    <n v="112.2"/>
    <n v="109.5"/>
    <n v="109.5"/>
    <n v="108.1"/>
    <n v="109.3"/>
    <n v="106.6"/>
    <n v="108.3"/>
    <n v="107.6"/>
    <n v="106.4"/>
    <n v="105.1"/>
    <n v="105.4"/>
    <n v="107.4"/>
    <n v="102.8"/>
    <n v="105.8"/>
    <n v="109.3"/>
    <n v="1545.5"/>
    <n v="326.89999999999998"/>
    <n v="322.5"/>
    <n v="209.2"/>
    <n v="105.1"/>
    <n v="105.4"/>
    <n v="107.4"/>
  </r>
  <r>
    <s v="Rural"/>
    <x v="0"/>
    <x v="6"/>
    <x v="6"/>
    <n v="113.4"/>
    <n v="114.9"/>
    <n v="110.5"/>
    <n v="109.3"/>
    <n v="106.2"/>
    <n v="110.3"/>
    <n v="129.19999999999999"/>
    <n v="107.1"/>
    <n v="104.3"/>
    <n v="106.4"/>
    <n v="109.1"/>
    <n v="112.1"/>
    <n v="113.1"/>
    <n v="109.8"/>
    <n v="110.5"/>
    <n v="109.5"/>
    <n v="110.3"/>
    <s v="NA"/>
    <n v="109.5"/>
    <n v="108.3"/>
    <n v="106.9"/>
    <n v="106.8"/>
    <n v="106.4"/>
    <n v="107.8"/>
    <n v="102.5"/>
    <n v="106.5"/>
    <n v="110.7"/>
    <n v="1555.6999999999996"/>
    <n v="330.3"/>
    <n v="217.8"/>
    <n v="209.4"/>
    <n v="106.8"/>
    <n v="106.4"/>
    <n v="107.8"/>
  </r>
  <r>
    <s v="Urban"/>
    <x v="0"/>
    <x v="6"/>
    <x v="6"/>
    <n v="117.8"/>
    <n v="119.2"/>
    <n v="114"/>
    <n v="108.3"/>
    <n v="101.1"/>
    <n v="113.2"/>
    <n v="160.9"/>
    <n v="105.1"/>
    <n v="101.3"/>
    <n v="107.5"/>
    <n v="110.4"/>
    <n v="113.1"/>
    <n v="117.5"/>
    <n v="111.7"/>
    <n v="109.8"/>
    <n v="107.8"/>
    <n v="109.5"/>
    <n v="107.7"/>
    <n v="108.6"/>
    <n v="108.1"/>
    <n v="107.1"/>
    <n v="107.3"/>
    <n v="105.9"/>
    <n v="110.1"/>
    <n v="103.2"/>
    <n v="107.3"/>
    <n v="111.4"/>
    <n v="1601.1000000000001"/>
    <n v="327.10000000000002"/>
    <n v="324.39999999999998"/>
    <n v="210.3"/>
    <n v="107.3"/>
    <n v="105.9"/>
    <n v="110.1"/>
  </r>
  <r>
    <s v="Rural+Urban"/>
    <x v="0"/>
    <x v="6"/>
    <x v="6"/>
    <n v="114.8"/>
    <n v="116.4"/>
    <n v="111.9"/>
    <n v="108.9"/>
    <n v="104.3"/>
    <n v="111.7"/>
    <n v="140"/>
    <n v="106.4"/>
    <n v="103.3"/>
    <n v="106.8"/>
    <n v="109.6"/>
    <n v="112.6"/>
    <n v="114.7"/>
    <n v="110.3"/>
    <n v="110.2"/>
    <n v="108.8"/>
    <n v="110"/>
    <n v="107.7"/>
    <n v="109.2"/>
    <n v="108.2"/>
    <n v="107"/>
    <n v="107.1"/>
    <n v="106.1"/>
    <n v="109.1"/>
    <n v="102.8"/>
    <n v="106.9"/>
    <n v="111"/>
    <n v="1571.6999999999998"/>
    <n v="329"/>
    <n v="325.10000000000002"/>
    <n v="209.8"/>
    <n v="107.1"/>
    <n v="106.1"/>
    <n v="109.1"/>
  </r>
  <r>
    <s v="Rural"/>
    <x v="0"/>
    <x v="7"/>
    <x v="7"/>
    <n v="114.3"/>
    <n v="115.4"/>
    <n v="111.1"/>
    <n v="110"/>
    <n v="106.4"/>
    <n v="110.8"/>
    <n v="138.9"/>
    <n v="107.4"/>
    <n v="104.1"/>
    <n v="106.9"/>
    <n v="109.7"/>
    <n v="112.6"/>
    <n v="114.9"/>
    <n v="110.7"/>
    <n v="111.3"/>
    <n v="110.2"/>
    <n v="111.1"/>
    <s v="NA"/>
    <n v="109.9"/>
    <n v="108.7"/>
    <n v="107.5"/>
    <n v="107.8"/>
    <n v="106.8"/>
    <n v="108.7"/>
    <n v="105"/>
    <n v="107.5"/>
    <n v="112.1"/>
    <n v="1573.2"/>
    <n v="332.6"/>
    <n v="218.60000000000002"/>
    <n v="212.5"/>
    <n v="107.8"/>
    <n v="106.8"/>
    <n v="108.7"/>
  </r>
  <r>
    <s v="Urban"/>
    <x v="0"/>
    <x v="7"/>
    <x v="7"/>
    <n v="118.3"/>
    <n v="120.4"/>
    <n v="112.7"/>
    <n v="108.9"/>
    <n v="101.1"/>
    <n v="108.7"/>
    <n v="177"/>
    <n v="104.7"/>
    <n v="101"/>
    <n v="108.5"/>
    <n v="110.9"/>
    <n v="114.3"/>
    <n v="119.6"/>
    <n v="112.4"/>
    <n v="110.6"/>
    <n v="108.3"/>
    <n v="110.2"/>
    <n v="108.9"/>
    <n v="109.3"/>
    <n v="108.7"/>
    <n v="107.6"/>
    <n v="108.1"/>
    <n v="106.5"/>
    <n v="110.8"/>
    <n v="106"/>
    <n v="108.3"/>
    <n v="112.7"/>
    <n v="1618.5000000000002"/>
    <n v="329.09999999999997"/>
    <n v="326.89999999999998"/>
    <n v="213.6"/>
    <n v="108.1"/>
    <n v="106.5"/>
    <n v="110.8"/>
  </r>
  <r>
    <s v="Rural+Urban"/>
    <x v="0"/>
    <x v="7"/>
    <x v="7"/>
    <n v="115.6"/>
    <n v="117.2"/>
    <n v="111.7"/>
    <n v="109.6"/>
    <n v="104.5"/>
    <n v="109.8"/>
    <n v="151.80000000000001"/>
    <n v="106.5"/>
    <n v="103.1"/>
    <n v="107.4"/>
    <n v="110.2"/>
    <n v="113.4"/>
    <n v="116.6"/>
    <n v="111.2"/>
    <n v="111"/>
    <n v="109.4"/>
    <n v="110.7"/>
    <n v="108.9"/>
    <n v="109.7"/>
    <n v="108.7"/>
    <n v="107.5"/>
    <n v="108"/>
    <n v="106.6"/>
    <n v="109.9"/>
    <n v="105.4"/>
    <n v="107.9"/>
    <n v="112.4"/>
    <n v="1588.6000000000001"/>
    <n v="331.1"/>
    <n v="327.3"/>
    <n v="212.9"/>
    <n v="108"/>
    <n v="106.6"/>
    <n v="109.9"/>
  </r>
  <r>
    <s v="Rural"/>
    <x v="0"/>
    <x v="8"/>
    <x v="8"/>
    <n v="115.4"/>
    <n v="115.7"/>
    <n v="111.7"/>
    <n v="111"/>
    <n v="107.4"/>
    <n v="110.9"/>
    <n v="154"/>
    <n v="108.1"/>
    <n v="104.2"/>
    <n v="107.9"/>
    <n v="110.4"/>
    <n v="114"/>
    <n v="117.8"/>
    <n v="111.7"/>
    <n v="112.7"/>
    <n v="111.4"/>
    <n v="112.5"/>
    <s v="NA"/>
    <n v="111.1"/>
    <n v="109.6"/>
    <n v="108.3"/>
    <n v="109.3"/>
    <n v="107.7"/>
    <n v="109.8"/>
    <n v="106.7"/>
    <n v="108.7"/>
    <n v="114.2"/>
    <n v="1600.2000000000003"/>
    <n v="336.6"/>
    <n v="220.7"/>
    <n v="215"/>
    <n v="109.3"/>
    <n v="107.7"/>
    <n v="109.8"/>
  </r>
  <r>
    <s v="Urban"/>
    <x v="0"/>
    <x v="8"/>
    <x v="8"/>
    <n v="118.6"/>
    <n v="119.1"/>
    <n v="113.2"/>
    <n v="109.6"/>
    <n v="101.7"/>
    <n v="103.2"/>
    <n v="174.3"/>
    <n v="105.1"/>
    <n v="100.8"/>
    <n v="109.1"/>
    <n v="111.1"/>
    <n v="115.4"/>
    <n v="119.2"/>
    <n v="112.9"/>
    <n v="111.4"/>
    <n v="109"/>
    <n v="111.1"/>
    <n v="109.7"/>
    <n v="109.5"/>
    <n v="109.6"/>
    <n v="107.9"/>
    <n v="110.4"/>
    <n v="107.4"/>
    <n v="111.2"/>
    <n v="106.9"/>
    <n v="109.4"/>
    <n v="113.2"/>
    <n v="1613.3000000000002"/>
    <n v="331.5"/>
    <n v="328.79999999999995"/>
    <n v="214.8"/>
    <n v="110.4"/>
    <n v="107.4"/>
    <n v="111.2"/>
  </r>
  <r>
    <s v="Rural+Urban"/>
    <x v="0"/>
    <x v="8"/>
    <x v="8"/>
    <n v="116.4"/>
    <n v="116.9"/>
    <n v="112.3"/>
    <n v="110.5"/>
    <n v="105.3"/>
    <n v="107.3"/>
    <n v="160.9"/>
    <n v="107.1"/>
    <n v="103.1"/>
    <n v="108.3"/>
    <n v="110.7"/>
    <n v="114.6"/>
    <n v="118.3"/>
    <n v="112"/>
    <n v="112.2"/>
    <n v="110.4"/>
    <n v="111.9"/>
    <n v="109.7"/>
    <n v="110.5"/>
    <n v="109.6"/>
    <n v="108.1"/>
    <n v="109.9"/>
    <n v="107.5"/>
    <n v="110.6"/>
    <n v="106.8"/>
    <n v="109"/>
    <n v="113.7"/>
    <n v="1603.6999999999998"/>
    <n v="334.5"/>
    <n v="329.79999999999995"/>
    <n v="214.89999999999998"/>
    <n v="109.9"/>
    <n v="107.5"/>
    <n v="110.6"/>
  </r>
  <r>
    <s v="Rural"/>
    <x v="0"/>
    <x v="9"/>
    <x v="9"/>
    <n v="116.3"/>
    <n v="115.4"/>
    <n v="112.6"/>
    <n v="111.7"/>
    <n v="107.7"/>
    <n v="113.2"/>
    <n v="164.9"/>
    <n v="108.3"/>
    <n v="103.9"/>
    <n v="108.2"/>
    <n v="111.1"/>
    <n v="114.9"/>
    <n v="119.8"/>
    <n v="112.2"/>
    <n v="113.6"/>
    <n v="112.3"/>
    <n v="113.4"/>
    <s v="NA"/>
    <n v="111.6"/>
    <n v="110.4"/>
    <n v="108.9"/>
    <n v="109.3"/>
    <n v="108.3"/>
    <n v="110.2"/>
    <n v="107.5"/>
    <n v="109.1"/>
    <n v="115.5"/>
    <n v="1620.2"/>
    <n v="339.29999999999995"/>
    <n v="222"/>
    <n v="216.4"/>
    <n v="109.3"/>
    <n v="108.3"/>
    <n v="110.2"/>
  </r>
  <r>
    <s v="Urban"/>
    <x v="0"/>
    <x v="9"/>
    <x v="9"/>
    <n v="118.9"/>
    <n v="118.1"/>
    <n v="114.5"/>
    <n v="110.4"/>
    <n v="102.3"/>
    <n v="106.2"/>
    <n v="183.5"/>
    <n v="105.3"/>
    <n v="100.2"/>
    <n v="109.6"/>
    <n v="111.4"/>
    <n v="116"/>
    <n v="120.8"/>
    <n v="113.5"/>
    <n v="112.5"/>
    <n v="109.7"/>
    <n v="112"/>
    <n v="110.5"/>
    <n v="109.7"/>
    <n v="110.2"/>
    <n v="108.2"/>
    <n v="109.7"/>
    <n v="108"/>
    <n v="111.3"/>
    <n v="107.3"/>
    <n v="109.4"/>
    <n v="114"/>
    <n v="1630.6999999999998"/>
    <n v="334.2"/>
    <n v="330.4"/>
    <n v="215.5"/>
    <n v="109.7"/>
    <n v="108"/>
    <n v="111.3"/>
  </r>
  <r>
    <s v="Rural+Urban"/>
    <x v="0"/>
    <x v="9"/>
    <x v="9"/>
    <n v="117.1"/>
    <n v="116.3"/>
    <n v="113.3"/>
    <n v="111.2"/>
    <n v="105.7"/>
    <n v="109.9"/>
    <n v="171.2"/>
    <n v="107.3"/>
    <n v="102.7"/>
    <n v="108.7"/>
    <n v="111.2"/>
    <n v="115.4"/>
    <n v="120.2"/>
    <n v="112.5"/>
    <n v="113.2"/>
    <n v="111.2"/>
    <n v="112.8"/>
    <n v="110.5"/>
    <n v="110.9"/>
    <n v="110.3"/>
    <n v="108.6"/>
    <n v="109.5"/>
    <n v="108.1"/>
    <n v="110.8"/>
    <n v="107.4"/>
    <n v="109.2"/>
    <n v="114.8"/>
    <n v="1622.7000000000003"/>
    <n v="337.2"/>
    <n v="331.7"/>
    <n v="216"/>
    <n v="109.5"/>
    <n v="108.1"/>
    <n v="110.8"/>
  </r>
  <r>
    <s v="Rural"/>
    <x v="0"/>
    <x v="10"/>
    <x v="10"/>
    <n v="117.3"/>
    <n v="114.9"/>
    <n v="116.2"/>
    <n v="112.8"/>
    <n v="108.9"/>
    <n v="116.6"/>
    <n v="178.1"/>
    <n v="109.1"/>
    <n v="103.6"/>
    <n v="109"/>
    <n v="111.8"/>
    <n v="116"/>
    <n v="122.5"/>
    <n v="112.8"/>
    <n v="114.6"/>
    <n v="113.1"/>
    <n v="114.4"/>
    <s v="NA"/>
    <n v="112.6"/>
    <n v="111.3"/>
    <n v="109.7"/>
    <n v="109.6"/>
    <n v="108.7"/>
    <n v="111"/>
    <n v="108.2"/>
    <n v="109.8"/>
    <n v="117.4"/>
    <n v="1649.6"/>
    <n v="342.1"/>
    <n v="223.89999999999998"/>
    <n v="217.9"/>
    <n v="109.6"/>
    <n v="108.7"/>
    <n v="111"/>
  </r>
  <r>
    <s v="Urban"/>
    <x v="0"/>
    <x v="11"/>
    <x v="11"/>
    <n v="119.8"/>
    <n v="116.3"/>
    <n v="122.6"/>
    <n v="112"/>
    <n v="103.2"/>
    <n v="110"/>
    <n v="192.8"/>
    <n v="106.3"/>
    <n v="99.5"/>
    <n v="110.3"/>
    <n v="111.8"/>
    <n v="117.1"/>
    <n v="122.9"/>
    <n v="114.1"/>
    <n v="113.5"/>
    <n v="110.3"/>
    <n v="113"/>
    <n v="111.1"/>
    <n v="110"/>
    <n v="110.9"/>
    <n v="108.6"/>
    <n v="109.5"/>
    <n v="108.5"/>
    <n v="111.3"/>
    <n v="107.9"/>
    <n v="109.6"/>
    <n v="115"/>
    <n v="1658.6999999999998"/>
    <n v="336.8"/>
    <n v="332"/>
    <n v="216.5"/>
    <n v="109.5"/>
    <n v="108.5"/>
    <n v="111.3"/>
  </r>
  <r>
    <s v="Rural+Urban"/>
    <x v="0"/>
    <x v="11"/>
    <x v="11"/>
    <n v="118.1"/>
    <n v="115.4"/>
    <n v="118.7"/>
    <n v="112.5"/>
    <n v="106.8"/>
    <n v="113.5"/>
    <n v="183.1"/>
    <n v="108.2"/>
    <n v="102.2"/>
    <n v="109.4"/>
    <n v="111.8"/>
    <n v="116.5"/>
    <n v="122.6"/>
    <n v="113.1"/>
    <n v="114.2"/>
    <n v="111.9"/>
    <n v="113.8"/>
    <n v="111.1"/>
    <n v="111.6"/>
    <n v="111.1"/>
    <n v="109.3"/>
    <n v="109.5"/>
    <n v="108.6"/>
    <n v="111.2"/>
    <n v="108.1"/>
    <n v="109.7"/>
    <n v="116.3"/>
    <n v="1651.8999999999999"/>
    <n v="339.90000000000003"/>
    <n v="333.79999999999995"/>
    <n v="217.39999999999998"/>
    <n v="109.5"/>
    <n v="108.6"/>
    <n v="111.2"/>
  </r>
  <r>
    <s v="Rural"/>
    <x v="0"/>
    <x v="12"/>
    <x v="12"/>
    <n v="118.4"/>
    <n v="115.9"/>
    <n v="120.4"/>
    <n v="113.8"/>
    <n v="109.5"/>
    <n v="115.5"/>
    <n v="145.69999999999999"/>
    <n v="109.5"/>
    <n v="102.9"/>
    <n v="109.8"/>
    <n v="112.1"/>
    <n v="116.8"/>
    <n v="118.7"/>
    <n v="113.6"/>
    <n v="115.8"/>
    <n v="114"/>
    <n v="115.5"/>
    <s v="NA"/>
    <n v="112.8"/>
    <n v="112.1"/>
    <n v="110.1"/>
    <n v="109.9"/>
    <n v="109.2"/>
    <n v="111.6"/>
    <n v="108.1"/>
    <n v="110.1"/>
    <n v="115.5"/>
    <n v="1622.6"/>
    <n v="345.3"/>
    <n v="224.89999999999998"/>
    <n v="218.2"/>
    <n v="109.9"/>
    <n v="109.2"/>
    <n v="111.6"/>
  </r>
  <r>
    <s v="Urban"/>
    <x v="0"/>
    <x v="12"/>
    <x v="12"/>
    <n v="120.5"/>
    <n v="118.1"/>
    <n v="128.5"/>
    <n v="112.8"/>
    <n v="103.4"/>
    <n v="110.7"/>
    <n v="144.80000000000001"/>
    <n v="107.1"/>
    <n v="98.6"/>
    <n v="111.9"/>
    <n v="112.1"/>
    <n v="118.1"/>
    <n v="117.8"/>
    <n v="115"/>
    <n v="114.2"/>
    <n v="110.9"/>
    <n v="113.7"/>
    <n v="110.7"/>
    <n v="110.4"/>
    <n v="111.3"/>
    <n v="109"/>
    <n v="109.7"/>
    <n v="108.9"/>
    <n v="111.4"/>
    <n v="107.7"/>
    <n v="109.8"/>
    <n v="113.3"/>
    <n v="1619.4"/>
    <n v="338.8"/>
    <n v="332.40000000000003"/>
    <n v="216.7"/>
    <n v="109.7"/>
    <n v="108.9"/>
    <n v="111.4"/>
  </r>
  <r>
    <s v="Rural+Urban"/>
    <x v="0"/>
    <x v="12"/>
    <x v="12"/>
    <n v="119.1"/>
    <n v="116.7"/>
    <n v="123.5"/>
    <n v="113.4"/>
    <n v="107.3"/>
    <n v="113.3"/>
    <n v="145.4"/>
    <n v="108.7"/>
    <n v="101.5"/>
    <n v="110.5"/>
    <n v="112.1"/>
    <n v="117.4"/>
    <n v="118.4"/>
    <n v="114"/>
    <n v="115.2"/>
    <n v="112.7"/>
    <n v="114.8"/>
    <n v="110.7"/>
    <n v="111.9"/>
    <n v="111.7"/>
    <n v="109.7"/>
    <n v="109.8"/>
    <n v="109"/>
    <n v="111.5"/>
    <n v="107.9"/>
    <n v="110"/>
    <n v="114.5"/>
    <n v="1621.3000000000002"/>
    <n v="342.7"/>
    <n v="334.3"/>
    <n v="217.60000000000002"/>
    <n v="109.8"/>
    <n v="109"/>
    <n v="111.5"/>
  </r>
  <r>
    <s v="Rural"/>
    <x v="1"/>
    <x v="0"/>
    <x v="13"/>
    <n v="118.9"/>
    <n v="117.1"/>
    <n v="120.5"/>
    <n v="114.4"/>
    <n v="109"/>
    <n v="115.5"/>
    <n v="123.9"/>
    <n v="109.6"/>
    <n v="101.8"/>
    <n v="110.2"/>
    <n v="112.4"/>
    <n v="117.3"/>
    <n v="116"/>
    <n v="114"/>
    <n v="116.5"/>
    <n v="114.5"/>
    <n v="116.2"/>
    <s v="NA"/>
    <n v="113"/>
    <n v="112.6"/>
    <n v="110.6"/>
    <n v="110.5"/>
    <n v="109.6"/>
    <n v="111.8"/>
    <n v="108.3"/>
    <n v="110.6"/>
    <n v="114.2"/>
    <n v="1600.6000000000001"/>
    <n v="347.2"/>
    <n v="225.6"/>
    <n v="218.89999999999998"/>
    <n v="110.5"/>
    <n v="109.6"/>
    <n v="111.8"/>
  </r>
  <r>
    <s v="Urban"/>
    <x v="1"/>
    <x v="0"/>
    <x v="13"/>
    <n v="121.2"/>
    <n v="122"/>
    <n v="129.9"/>
    <n v="113.6"/>
    <n v="102.9"/>
    <n v="112.1"/>
    <n v="118.9"/>
    <n v="107.5"/>
    <n v="96.9"/>
    <n v="112.7"/>
    <n v="112.1"/>
    <n v="119"/>
    <n v="115.5"/>
    <n v="115.7"/>
    <n v="114.8"/>
    <n v="111.3"/>
    <n v="114.3"/>
    <n v="111.6"/>
    <n v="111"/>
    <n v="111.9"/>
    <n v="109.7"/>
    <n v="110.8"/>
    <n v="109.8"/>
    <n v="111.5"/>
    <n v="108"/>
    <n v="110.5"/>
    <n v="112.9"/>
    <n v="1600"/>
    <n v="340.4"/>
    <n v="334.5"/>
    <n v="217.7"/>
    <n v="110.8"/>
    <n v="109.8"/>
    <n v="111.5"/>
  </r>
  <r>
    <s v="Rural+Urban"/>
    <x v="1"/>
    <x v="0"/>
    <x v="13"/>
    <n v="119.6"/>
    <n v="118.8"/>
    <n v="124.1"/>
    <n v="114.1"/>
    <n v="106.8"/>
    <n v="113.9"/>
    <n v="122.2"/>
    <n v="108.9"/>
    <n v="100.2"/>
    <n v="111"/>
    <n v="112.3"/>
    <n v="118.1"/>
    <n v="115.8"/>
    <n v="114.5"/>
    <n v="115.8"/>
    <n v="113.2"/>
    <n v="115.4"/>
    <n v="111.6"/>
    <n v="112.2"/>
    <n v="112.3"/>
    <n v="110.3"/>
    <n v="110.7"/>
    <n v="109.7"/>
    <n v="111.6"/>
    <n v="108.2"/>
    <n v="110.6"/>
    <n v="113.6"/>
    <n v="1600.2999999999997"/>
    <n v="344.4"/>
    <n v="336.1"/>
    <n v="218.5"/>
    <n v="110.7"/>
    <n v="109.7"/>
    <n v="111.6"/>
  </r>
  <r>
    <s v="Rural"/>
    <x v="1"/>
    <x v="1"/>
    <x v="14"/>
    <n v="119.4"/>
    <n v="117.7"/>
    <n v="121.2"/>
    <n v="115"/>
    <n v="109"/>
    <n v="116.6"/>
    <n v="116"/>
    <n v="109.8"/>
    <n v="101.1"/>
    <n v="110.4"/>
    <n v="112.9"/>
    <n v="117.8"/>
    <n v="115.3"/>
    <n v="114.2"/>
    <n v="117.1"/>
    <n v="114.5"/>
    <n v="116.7"/>
    <s v="NA"/>
    <n v="113.2"/>
    <n v="112.9"/>
    <n v="110.9"/>
    <n v="110.8"/>
    <n v="109.9"/>
    <n v="112"/>
    <n v="108.7"/>
    <n v="110.9"/>
    <n v="114"/>
    <n v="1596.4"/>
    <n v="348.3"/>
    <n v="226.10000000000002"/>
    <n v="219.60000000000002"/>
    <n v="110.8"/>
    <n v="109.9"/>
    <n v="112"/>
  </r>
  <r>
    <s v="Urban"/>
    <x v="1"/>
    <x v="1"/>
    <x v="14"/>
    <n v="121.9"/>
    <n v="122"/>
    <n v="124.5"/>
    <n v="115.2"/>
    <n v="102.5"/>
    <n v="114.1"/>
    <n v="111.5"/>
    <n v="108.2"/>
    <n v="95.4"/>
    <n v="113.5"/>
    <n v="112.1"/>
    <n v="119.9"/>
    <n v="115.2"/>
    <n v="116.2"/>
    <n v="115.3"/>
    <n v="111.7"/>
    <n v="114.7"/>
    <n v="112.5"/>
    <n v="111.1"/>
    <n v="112.6"/>
    <n v="110.4"/>
    <n v="111.3"/>
    <n v="110.3"/>
    <n v="111.6"/>
    <n v="108.7"/>
    <n v="111"/>
    <n v="113.1"/>
    <n v="1592.2"/>
    <n v="341.7"/>
    <n v="336.2"/>
    <n v="219.10000000000002"/>
    <n v="111.3"/>
    <n v="110.3"/>
    <n v="111.6"/>
  </r>
  <r>
    <s v="Rural+Urban"/>
    <x v="1"/>
    <x v="1"/>
    <x v="14"/>
    <n v="120.2"/>
    <n v="119.2"/>
    <n v="122.5"/>
    <n v="115.1"/>
    <n v="106.6"/>
    <n v="115.4"/>
    <n v="114.5"/>
    <n v="109.3"/>
    <n v="99.2"/>
    <n v="111.4"/>
    <n v="112.6"/>
    <n v="118.8"/>
    <n v="115.3"/>
    <n v="114.7"/>
    <n v="116.4"/>
    <n v="113.3"/>
    <n v="115.9"/>
    <n v="112.5"/>
    <n v="112.4"/>
    <n v="112.8"/>
    <n v="110.7"/>
    <n v="111.1"/>
    <n v="110.1"/>
    <n v="111.8"/>
    <n v="108.7"/>
    <n v="110.9"/>
    <n v="113.6"/>
    <n v="1594.8"/>
    <n v="345.6"/>
    <n v="337.7"/>
    <n v="219.4"/>
    <n v="111.1"/>
    <n v="110.1"/>
    <n v="111.8"/>
  </r>
  <r>
    <s v="Rural"/>
    <x v="1"/>
    <x v="2"/>
    <x v="15"/>
    <n v="120.1"/>
    <n v="118.1"/>
    <n v="120.7"/>
    <n v="116.1"/>
    <n v="109.3"/>
    <n v="119.6"/>
    <n v="117.9"/>
    <n v="110.2"/>
    <n v="101.2"/>
    <n v="110.7"/>
    <n v="113"/>
    <n v="118.3"/>
    <n v="116.2"/>
    <n v="114.6"/>
    <n v="117.5"/>
    <n v="114.9"/>
    <n v="117.2"/>
    <s v="NA"/>
    <n v="113.4"/>
    <n v="113.4"/>
    <n v="111.4"/>
    <n v="111.2"/>
    <n v="110.2"/>
    <n v="112.4"/>
    <n v="108.9"/>
    <n v="111.3"/>
    <n v="114.6"/>
    <n v="1606"/>
    <n v="349.6"/>
    <n v="226.8"/>
    <n v="220.3"/>
    <n v="111.2"/>
    <n v="110.2"/>
    <n v="112.4"/>
  </r>
  <r>
    <s v="Urban"/>
    <x v="1"/>
    <x v="2"/>
    <x v="15"/>
    <n v="122.1"/>
    <n v="121.4"/>
    <n v="121.5"/>
    <n v="116.2"/>
    <n v="102.8"/>
    <n v="117.7"/>
    <n v="113.3"/>
    <n v="108.9"/>
    <n v="96.3"/>
    <n v="114.1"/>
    <n v="112.2"/>
    <n v="120.5"/>
    <n v="116"/>
    <n v="116.7"/>
    <n v="115.8"/>
    <n v="112.1"/>
    <n v="115.2"/>
    <n v="113.2"/>
    <n v="110.9"/>
    <n v="113"/>
    <n v="110.8"/>
    <n v="111.6"/>
    <n v="110.9"/>
    <n v="111.8"/>
    <n v="109.2"/>
    <n v="111.4"/>
    <n v="113.7"/>
    <n v="1599.7"/>
    <n v="343.09999999999997"/>
    <n v="337.1"/>
    <n v="220"/>
    <n v="111.6"/>
    <n v="110.9"/>
    <n v="111.8"/>
  </r>
  <r>
    <s v="Rural+Urban"/>
    <x v="1"/>
    <x v="13"/>
    <x v="16"/>
    <n v="120.7"/>
    <n v="119.3"/>
    <n v="121"/>
    <n v="116.1"/>
    <n v="106.9"/>
    <n v="118.7"/>
    <n v="116.3"/>
    <n v="109.8"/>
    <n v="99.6"/>
    <n v="111.8"/>
    <n v="112.7"/>
    <n v="119.3"/>
    <n v="116.1"/>
    <n v="115.2"/>
    <n v="116.8"/>
    <n v="113.7"/>
    <n v="116.4"/>
    <n v="113.2"/>
    <n v="112.5"/>
    <n v="113.2"/>
    <n v="111.2"/>
    <n v="111.4"/>
    <n v="110.6"/>
    <n v="112"/>
    <n v="109"/>
    <n v="111.3"/>
    <n v="114.2"/>
    <n v="1603.4999999999998"/>
    <n v="346.9"/>
    <n v="338.9"/>
    <n v="220.2"/>
    <n v="111.4"/>
    <n v="110.6"/>
    <n v="112"/>
  </r>
  <r>
    <s v="Rural"/>
    <x v="1"/>
    <x v="3"/>
    <x v="17"/>
    <n v="120.2"/>
    <n v="118.9"/>
    <n v="118.1"/>
    <n v="117"/>
    <n v="109.7"/>
    <n v="125.5"/>
    <n v="120.5"/>
    <n v="111"/>
    <n v="102.6"/>
    <n v="111.2"/>
    <n v="113.5"/>
    <n v="118.7"/>
    <n v="117.2"/>
    <n v="115.4"/>
    <n v="118.1"/>
    <n v="116.1"/>
    <n v="117.8"/>
    <s v="NA"/>
    <n v="113.4"/>
    <n v="113.7"/>
    <n v="111.8"/>
    <n v="111.2"/>
    <n v="110.5"/>
    <n v="113"/>
    <n v="108.9"/>
    <n v="111.5"/>
    <n v="115.4"/>
    <n v="1619.5000000000002"/>
    <n v="352"/>
    <n v="227.10000000000002"/>
    <n v="220.7"/>
    <n v="111.2"/>
    <n v="110.5"/>
    <n v="113"/>
  </r>
  <r>
    <s v="Urban"/>
    <x v="1"/>
    <x v="3"/>
    <x v="17"/>
    <n v="122.5"/>
    <n v="121.7"/>
    <n v="113.3"/>
    <n v="117"/>
    <n v="103.1"/>
    <n v="126.7"/>
    <n v="121.2"/>
    <n v="111"/>
    <n v="100.3"/>
    <n v="115.3"/>
    <n v="112.7"/>
    <n v="121"/>
    <n v="118.2"/>
    <n v="117.6"/>
    <n v="116.3"/>
    <n v="112.5"/>
    <n v="115.7"/>
    <n v="113.9"/>
    <n v="110.9"/>
    <n v="113.4"/>
    <n v="111"/>
    <n v="111.2"/>
    <n v="111.2"/>
    <n v="112.5"/>
    <n v="109.1"/>
    <n v="111.4"/>
    <n v="114.7"/>
    <n v="1621.6000000000001"/>
    <n v="344.5"/>
    <n v="338.20000000000005"/>
    <n v="220.1"/>
    <n v="111.2"/>
    <n v="111.2"/>
    <n v="112.5"/>
  </r>
  <r>
    <s v="Rural+Urban"/>
    <x v="1"/>
    <x v="3"/>
    <x v="17"/>
    <n v="120.9"/>
    <n v="119.9"/>
    <n v="116.2"/>
    <n v="117"/>
    <n v="107.3"/>
    <n v="126.1"/>
    <n v="120.7"/>
    <n v="111"/>
    <n v="101.8"/>
    <n v="112.6"/>
    <n v="113.2"/>
    <n v="119.8"/>
    <n v="117.6"/>
    <n v="116"/>
    <n v="117.4"/>
    <n v="114.6"/>
    <n v="117"/>
    <n v="113.9"/>
    <n v="112.5"/>
    <n v="113.6"/>
    <n v="111.5"/>
    <n v="111.2"/>
    <n v="110.9"/>
    <n v="112.7"/>
    <n v="109"/>
    <n v="111.5"/>
    <n v="115.1"/>
    <n v="1620.1"/>
    <n v="349"/>
    <n v="340"/>
    <n v="220.5"/>
    <n v="111.2"/>
    <n v="110.9"/>
    <n v="112.7"/>
  </r>
  <r>
    <s v="Rural"/>
    <x v="1"/>
    <x v="4"/>
    <x v="18"/>
    <n v="120.3"/>
    <n v="120.2"/>
    <n v="116.9"/>
    <n v="118"/>
    <n v="110.1"/>
    <n v="126.3"/>
    <n v="123.9"/>
    <n v="111.5"/>
    <n v="103.5"/>
    <n v="111.6"/>
    <n v="114.2"/>
    <n v="119.2"/>
    <n v="118.2"/>
    <n v="116.3"/>
    <n v="118.7"/>
    <n v="116.8"/>
    <n v="118.5"/>
    <s v="NA"/>
    <n v="113.4"/>
    <n v="114.1"/>
    <n v="112.1"/>
    <n v="111.4"/>
    <n v="110.9"/>
    <n v="113.1"/>
    <n v="108.9"/>
    <n v="111.8"/>
    <n v="116"/>
    <n v="1630.1999999999998"/>
    <n v="354"/>
    <n v="227.5"/>
    <n v="221"/>
    <n v="111.4"/>
    <n v="110.9"/>
    <n v="113.1"/>
  </r>
  <r>
    <s v="Urban"/>
    <x v="1"/>
    <x v="4"/>
    <x v="18"/>
    <n v="122.7"/>
    <n v="124.1"/>
    <n v="114.2"/>
    <n v="119.1"/>
    <n v="103.5"/>
    <n v="129.19999999999999"/>
    <n v="127"/>
    <n v="112.6"/>
    <n v="101.3"/>
    <n v="117"/>
    <n v="112.9"/>
    <n v="121.7"/>
    <n v="120"/>
    <n v="118.3"/>
    <n v="116.8"/>
    <n v="112.9"/>
    <n v="116.2"/>
    <n v="114.3"/>
    <n v="111.1"/>
    <n v="114.1"/>
    <n v="111.2"/>
    <n v="111.3"/>
    <n v="111.5"/>
    <n v="112.9"/>
    <n v="109.3"/>
    <n v="111.7"/>
    <n v="115.6"/>
    <n v="1643.6000000000001"/>
    <n v="345.9"/>
    <n v="339.5"/>
    <n v="220.5"/>
    <n v="111.3"/>
    <n v="111.5"/>
    <n v="112.9"/>
  </r>
  <r>
    <s v="Rural+Urban"/>
    <x v="1"/>
    <x v="4"/>
    <x v="18"/>
    <n v="121.1"/>
    <n v="121.6"/>
    <n v="115.9"/>
    <n v="118.4"/>
    <n v="107.7"/>
    <n v="127.7"/>
    <n v="125"/>
    <n v="111.9"/>
    <n v="102.8"/>
    <n v="113.4"/>
    <n v="113.7"/>
    <n v="120.4"/>
    <n v="118.9"/>
    <n v="116.8"/>
    <n v="118"/>
    <n v="115.2"/>
    <n v="117.6"/>
    <n v="114.3"/>
    <n v="112.5"/>
    <n v="114.1"/>
    <n v="111.8"/>
    <n v="111.3"/>
    <n v="111.2"/>
    <n v="113"/>
    <n v="109.1"/>
    <n v="111.8"/>
    <n v="115.8"/>
    <n v="1635.3000000000004"/>
    <n v="350.79999999999995"/>
    <n v="340.9"/>
    <n v="220.89999999999998"/>
    <n v="111.3"/>
    <n v="111.2"/>
    <n v="113"/>
  </r>
  <r>
    <s v="Rural"/>
    <x v="1"/>
    <x v="5"/>
    <x v="19"/>
    <n v="120.7"/>
    <n v="121.6"/>
    <n v="116.1"/>
    <n v="119.3"/>
    <n v="110.3"/>
    <n v="125.8"/>
    <n v="129.30000000000001"/>
    <n v="112.2"/>
    <n v="103.6"/>
    <n v="112.3"/>
    <n v="114.9"/>
    <n v="120.1"/>
    <n v="119.5"/>
    <n v="117.3"/>
    <n v="119.7"/>
    <n v="117.3"/>
    <n v="119.3"/>
    <s v="NA"/>
    <n v="114.4"/>
    <n v="114.9"/>
    <n v="112.8"/>
    <n v="112.2"/>
    <n v="111.4"/>
    <n v="114.3"/>
    <n v="108"/>
    <n v="112.3"/>
    <n v="117"/>
    <n v="1642.9999999999998"/>
    <n v="356.3"/>
    <n v="229.3"/>
    <n v="220.8"/>
    <n v="112.2"/>
    <n v="111.4"/>
    <n v="114.3"/>
  </r>
  <r>
    <s v="Urban"/>
    <x v="1"/>
    <x v="5"/>
    <x v="19"/>
    <n v="123.1"/>
    <n v="125.9"/>
    <n v="115.4"/>
    <n v="120.4"/>
    <n v="103.4"/>
    <n v="131.19999999999999"/>
    <n v="137.5"/>
    <n v="112.8"/>
    <n v="101.4"/>
    <n v="118.3"/>
    <n v="113.2"/>
    <n v="122.4"/>
    <n v="122"/>
    <n v="119"/>
    <n v="117.4"/>
    <n v="113.2"/>
    <n v="116.7"/>
    <n v="113.9"/>
    <n v="111.2"/>
    <n v="114.3"/>
    <n v="111.4"/>
    <n v="111.5"/>
    <n v="111.8"/>
    <n v="115.1"/>
    <n v="108.7"/>
    <n v="112.2"/>
    <n v="116.4"/>
    <n v="1666"/>
    <n v="347.3"/>
    <n v="339.40000000000003"/>
    <n v="220.10000000000002"/>
    <n v="111.5"/>
    <n v="111.8"/>
    <n v="115.1"/>
  </r>
  <r>
    <s v="Rural+Urban"/>
    <x v="1"/>
    <x v="5"/>
    <x v="19"/>
    <n v="121.5"/>
    <n v="123.1"/>
    <n v="115.8"/>
    <n v="119.7"/>
    <n v="107.8"/>
    <n v="128.30000000000001"/>
    <n v="132.1"/>
    <n v="112.4"/>
    <n v="102.9"/>
    <n v="114.3"/>
    <n v="114.2"/>
    <n v="121.2"/>
    <n v="120.4"/>
    <n v="117.8"/>
    <n v="118.8"/>
    <n v="115.6"/>
    <n v="118.3"/>
    <n v="113.9"/>
    <n v="113.2"/>
    <n v="114.6"/>
    <n v="112.3"/>
    <n v="111.8"/>
    <n v="111.6"/>
    <n v="114.8"/>
    <n v="108.3"/>
    <n v="112.3"/>
    <n v="116.7"/>
    <n v="1651.5000000000002"/>
    <n v="352.7"/>
    <n v="341.70000000000005"/>
    <n v="220.6"/>
    <n v="111.8"/>
    <n v="111.6"/>
    <n v="114.8"/>
  </r>
  <r>
    <s v="Rural"/>
    <x v="1"/>
    <x v="6"/>
    <x v="20"/>
    <n v="121.7"/>
    <n v="122.5"/>
    <n v="117.7"/>
    <n v="120.6"/>
    <n v="110.4"/>
    <n v="129.1"/>
    <n v="150.1"/>
    <n v="113.2"/>
    <n v="104.8"/>
    <n v="113.3"/>
    <n v="115.6"/>
    <n v="120.9"/>
    <n v="123.3"/>
    <n v="118"/>
    <n v="120.7"/>
    <n v="118.3"/>
    <n v="120.3"/>
    <s v="NA"/>
    <n v="115.3"/>
    <n v="115.4"/>
    <n v="113.4"/>
    <n v="113.2"/>
    <n v="111.8"/>
    <n v="115.5"/>
    <n v="108.8"/>
    <n v="113.1"/>
    <n v="119.5"/>
    <n v="1681.2"/>
    <n v="359.3"/>
    <n v="230.7"/>
    <n v="222.2"/>
    <n v="113.2"/>
    <n v="111.8"/>
    <n v="115.5"/>
  </r>
  <r>
    <s v="Urban"/>
    <x v="1"/>
    <x v="6"/>
    <x v="20"/>
    <n v="123.8"/>
    <n v="126.4"/>
    <n v="118"/>
    <n v="121.6"/>
    <n v="103.5"/>
    <n v="133.69999999999999"/>
    <n v="172.4"/>
    <n v="113.1"/>
    <n v="102.7"/>
    <n v="120"/>
    <n v="113.8"/>
    <n v="123.4"/>
    <n v="127.1"/>
    <n v="121"/>
    <n v="118"/>
    <n v="113.6"/>
    <n v="117.4"/>
    <n v="114.8"/>
    <n v="111.6"/>
    <n v="114.9"/>
    <n v="111.5"/>
    <n v="113"/>
    <n v="112.4"/>
    <n v="117.8"/>
    <n v="109.7"/>
    <n v="113.5"/>
    <n v="118.9"/>
    <n v="1720.5"/>
    <n v="349"/>
    <n v="341.29999999999995"/>
    <n v="221.2"/>
    <n v="113"/>
    <n v="112.4"/>
    <n v="117.8"/>
  </r>
  <r>
    <s v="Rural+Urban"/>
    <x v="1"/>
    <x v="6"/>
    <x v="20"/>
    <n v="122.4"/>
    <n v="123.9"/>
    <n v="117.8"/>
    <n v="121"/>
    <n v="107.9"/>
    <n v="131.19999999999999"/>
    <n v="157.69999999999999"/>
    <n v="113.2"/>
    <n v="104.1"/>
    <n v="115.5"/>
    <n v="114.8"/>
    <n v="122.1"/>
    <n v="124.7"/>
    <n v="118.8"/>
    <n v="119.6"/>
    <n v="116.3"/>
    <n v="119.1"/>
    <n v="114.8"/>
    <n v="113.9"/>
    <n v="115.2"/>
    <n v="112.7"/>
    <n v="113.1"/>
    <n v="112.1"/>
    <n v="116.8"/>
    <n v="109.2"/>
    <n v="113.3"/>
    <n v="119.2"/>
    <n v="1695.1"/>
    <n v="355"/>
    <n v="343.9"/>
    <n v="221.9"/>
    <n v="113.1"/>
    <n v="112.1"/>
    <n v="116.8"/>
  </r>
  <r>
    <s v="Rural"/>
    <x v="1"/>
    <x v="7"/>
    <x v="21"/>
    <n v="121.8"/>
    <n v="122.8"/>
    <n v="117.8"/>
    <n v="121.9"/>
    <n v="110.6"/>
    <n v="129.69999999999999"/>
    <n v="161.1"/>
    <n v="114.1"/>
    <n v="105.1"/>
    <n v="114.6"/>
    <n v="115.8"/>
    <n v="121.7"/>
    <n v="125.3"/>
    <n v="118.8"/>
    <n v="120.9"/>
    <n v="118.8"/>
    <n v="120.7"/>
    <s v="NA"/>
    <n v="115.4"/>
    <n v="115.9"/>
    <n v="114"/>
    <n v="113.2"/>
    <n v="112.2"/>
    <n v="116.2"/>
    <n v="109.4"/>
    <n v="113.5"/>
    <n v="120.7"/>
    <n v="1701.0999999999997"/>
    <n v="360.4"/>
    <n v="231.3"/>
    <n v="223.4"/>
    <n v="113.2"/>
    <n v="112.2"/>
    <n v="116.2"/>
  </r>
  <r>
    <s v="Urban"/>
    <x v="1"/>
    <x v="7"/>
    <x v="21"/>
    <n v="124.8"/>
    <n v="127.3"/>
    <n v="116.5"/>
    <n v="122.2"/>
    <n v="103.6"/>
    <n v="132.69999999999999"/>
    <n v="181.9"/>
    <n v="115.2"/>
    <n v="102.7"/>
    <n v="122.1"/>
    <n v="114.4"/>
    <n v="124.7"/>
    <n v="128.9"/>
    <n v="123"/>
    <n v="118.6"/>
    <n v="114.1"/>
    <n v="117.9"/>
    <n v="115.5"/>
    <n v="111.8"/>
    <n v="115.3"/>
    <n v="112.2"/>
    <n v="112.5"/>
    <n v="112.9"/>
    <n v="119.2"/>
    <n v="110.5"/>
    <n v="113.9"/>
    <n v="119.9"/>
    <n v="1740"/>
    <n v="350.6"/>
    <n v="342.6"/>
    <n v="222.7"/>
    <n v="112.5"/>
    <n v="112.9"/>
    <n v="119.2"/>
  </r>
  <r>
    <s v="Rural+Urban"/>
    <x v="1"/>
    <x v="7"/>
    <x v="21"/>
    <n v="122.7"/>
    <n v="124.4"/>
    <n v="117.3"/>
    <n v="122"/>
    <n v="108"/>
    <n v="131.1"/>
    <n v="168.2"/>
    <n v="114.5"/>
    <n v="104.3"/>
    <n v="117.1"/>
    <n v="115.2"/>
    <n v="123.1"/>
    <n v="126.6"/>
    <n v="119.9"/>
    <n v="120"/>
    <n v="116.8"/>
    <n v="119.6"/>
    <n v="115.5"/>
    <n v="114"/>
    <n v="115.6"/>
    <n v="113.3"/>
    <n v="112.8"/>
    <n v="112.6"/>
    <n v="118"/>
    <n v="109.9"/>
    <n v="113.7"/>
    <n v="120.3"/>
    <n v="1714.3999999999999"/>
    <n v="356.4"/>
    <n v="345.1"/>
    <n v="223.2"/>
    <n v="112.8"/>
    <n v="112.6"/>
    <n v="118"/>
  </r>
  <r>
    <s v="Rural"/>
    <x v="1"/>
    <x v="8"/>
    <x v="22"/>
    <n v="122.3"/>
    <n v="122.4"/>
    <n v="117.8"/>
    <n v="122.7"/>
    <n v="110.4"/>
    <n v="129.80000000000001"/>
    <n v="158.80000000000001"/>
    <n v="115"/>
    <n v="104.7"/>
    <n v="114.9"/>
    <n v="116.5"/>
    <n v="122.6"/>
    <n v="125.3"/>
    <n v="119.5"/>
    <n v="121.7"/>
    <n v="119.2"/>
    <n v="121.3"/>
    <s v="NA"/>
    <n v="115.8"/>
    <n v="116.7"/>
    <n v="114.5"/>
    <n v="112.8"/>
    <n v="112.6"/>
    <n v="116.6"/>
    <n v="109.1"/>
    <n v="113.7"/>
    <n v="120.9"/>
    <n v="1702.7"/>
    <n v="362.2"/>
    <n v="232.5"/>
    <n v="223.6"/>
    <n v="112.8"/>
    <n v="112.6"/>
    <n v="116.6"/>
  </r>
  <r>
    <s v="Urban"/>
    <x v="1"/>
    <x v="8"/>
    <x v="22"/>
    <n v="124.2"/>
    <n v="125.4"/>
    <n v="116.4"/>
    <n v="122.7"/>
    <n v="103.5"/>
    <n v="124.5"/>
    <n v="168.6"/>
    <n v="116.9"/>
    <n v="101.9"/>
    <n v="122.9"/>
    <n v="114.8"/>
    <n v="125.2"/>
    <n v="126.7"/>
    <n v="124.3"/>
    <n v="119.2"/>
    <n v="114.5"/>
    <n v="118.4"/>
    <n v="116.1"/>
    <n v="111.8"/>
    <n v="115.5"/>
    <n v="112.3"/>
    <n v="111.2"/>
    <n v="113.4"/>
    <n v="120"/>
    <n v="110"/>
    <n v="113.6"/>
    <n v="119.2"/>
    <n v="1718.0000000000002"/>
    <n v="352.1"/>
    <n v="343.4"/>
    <n v="222.3"/>
    <n v="111.2"/>
    <n v="113.4"/>
    <n v="120"/>
  </r>
  <r>
    <s v="Rural+Urban"/>
    <x v="1"/>
    <x v="8"/>
    <x v="22"/>
    <n v="122.9"/>
    <n v="123.5"/>
    <n v="117.3"/>
    <n v="122.7"/>
    <n v="107.9"/>
    <n v="127.3"/>
    <n v="162.1"/>
    <n v="115.6"/>
    <n v="103.8"/>
    <n v="117.6"/>
    <n v="115.8"/>
    <n v="123.8"/>
    <n v="125.8"/>
    <n v="120.8"/>
    <n v="120.7"/>
    <n v="117.2"/>
    <n v="120.1"/>
    <n v="116.1"/>
    <n v="114.3"/>
    <n v="116.1"/>
    <n v="113.7"/>
    <n v="112"/>
    <n v="113.1"/>
    <n v="118.6"/>
    <n v="109.5"/>
    <n v="113.7"/>
    <n v="120.1"/>
    <n v="1706.8999999999996"/>
    <n v="358"/>
    <n v="346.5"/>
    <n v="223.2"/>
    <n v="112"/>
    <n v="113.1"/>
    <n v="118.6"/>
  </r>
  <r>
    <s v="Rural"/>
    <x v="1"/>
    <x v="9"/>
    <x v="23"/>
    <n v="122.6"/>
    <n v="122.5"/>
    <n v="118.3"/>
    <n v="123.2"/>
    <n v="110.5"/>
    <n v="128.9"/>
    <n v="155.30000000000001"/>
    <n v="115.5"/>
    <n v="104"/>
    <n v="115.3"/>
    <n v="116.8"/>
    <n v="123.2"/>
    <n v="125.1"/>
    <n v="120"/>
    <n v="122.7"/>
    <n v="120.3"/>
    <n v="122.3"/>
    <s v="NA"/>
    <n v="116.4"/>
    <n v="117.5"/>
    <n v="115.3"/>
    <n v="112.6"/>
    <n v="113"/>
    <n v="116.9"/>
    <n v="109.3"/>
    <n v="114"/>
    <n v="121"/>
    <n v="1701.1999999999998"/>
    <n v="365.3"/>
    <n v="233.9"/>
    <n v="224.6"/>
    <n v="112.6"/>
    <n v="113"/>
    <n v="116.9"/>
  </r>
  <r>
    <s v="Urban"/>
    <x v="1"/>
    <x v="9"/>
    <x v="23"/>
    <n v="124.6"/>
    <n v="126.1"/>
    <n v="117.8"/>
    <n v="123.1"/>
    <n v="103.5"/>
    <n v="123.5"/>
    <n v="159.6"/>
    <n v="117.4"/>
    <n v="101.2"/>
    <n v="123.8"/>
    <n v="115.2"/>
    <n v="125.9"/>
    <n v="125.8"/>
    <n v="124.3"/>
    <n v="119.6"/>
    <n v="114.9"/>
    <n v="118.9"/>
    <n v="116.7"/>
    <n v="112"/>
    <n v="115.8"/>
    <n v="112.6"/>
    <n v="111"/>
    <n v="113.6"/>
    <n v="120.2"/>
    <n v="110.1"/>
    <n v="113.7"/>
    <n v="119.1"/>
    <n v="1711.8"/>
    <n v="353.4"/>
    <n v="344.5"/>
    <n v="222.7"/>
    <n v="111"/>
    <n v="113.6"/>
    <n v="120.2"/>
  </r>
  <r>
    <s v="Rural+Urban"/>
    <x v="1"/>
    <x v="9"/>
    <x v="23"/>
    <n v="123.2"/>
    <n v="123.8"/>
    <n v="118.1"/>
    <n v="123.2"/>
    <n v="107.9"/>
    <n v="126.4"/>
    <n v="156.80000000000001"/>
    <n v="116.1"/>
    <n v="103.1"/>
    <n v="118.1"/>
    <n v="116.1"/>
    <n v="124.5"/>
    <n v="125.4"/>
    <n v="121.1"/>
    <n v="121.5"/>
    <n v="118.1"/>
    <n v="121"/>
    <n v="116.7"/>
    <n v="114.7"/>
    <n v="116.7"/>
    <n v="114.3"/>
    <n v="111.8"/>
    <n v="113.3"/>
    <n v="118.8"/>
    <n v="109.6"/>
    <n v="113.9"/>
    <n v="120.1"/>
    <n v="1703.8"/>
    <n v="360.6"/>
    <n v="348.1"/>
    <n v="223.89999999999998"/>
    <n v="111.8"/>
    <n v="113.3"/>
    <n v="118.8"/>
  </r>
  <r>
    <s v="Rural"/>
    <x v="1"/>
    <x v="11"/>
    <x v="24"/>
    <n v="122.7"/>
    <n v="122.6"/>
    <n v="119.9"/>
    <n v="124"/>
    <n v="110.5"/>
    <n v="128.80000000000001"/>
    <n v="152"/>
    <n v="116.2"/>
    <n v="103.3"/>
    <n v="115.8"/>
    <n v="116.8"/>
    <n v="124.5"/>
    <n v="124.9"/>
    <n v="120.8"/>
    <n v="123.3"/>
    <n v="120.5"/>
    <n v="122.9"/>
    <s v="NA"/>
    <n v="117.3"/>
    <n v="118.1"/>
    <n v="115.9"/>
    <n v="112"/>
    <n v="113.3"/>
    <n v="117.2"/>
    <n v="108.8"/>
    <n v="114.1"/>
    <n v="121.1"/>
    <n v="1702.8"/>
    <n v="366.70000000000005"/>
    <n v="235.39999999999998"/>
    <n v="224.7"/>
    <n v="112"/>
    <n v="113.3"/>
    <n v="117.2"/>
  </r>
  <r>
    <s v="Urban"/>
    <x v="1"/>
    <x v="11"/>
    <x v="24"/>
    <n v="124.5"/>
    <n v="125.6"/>
    <n v="122.7"/>
    <n v="124.6"/>
    <n v="103.2"/>
    <n v="122.2"/>
    <n v="153.19999999999999"/>
    <n v="119.3"/>
    <n v="99.8"/>
    <n v="124.6"/>
    <n v="115.8"/>
    <n v="126.9"/>
    <n v="125.4"/>
    <n v="125.8"/>
    <n v="120.3"/>
    <n v="115.4"/>
    <n v="119.5"/>
    <n v="117.1"/>
    <n v="112.6"/>
    <n v="116.4"/>
    <n v="113"/>
    <n v="109.7"/>
    <n v="114"/>
    <n v="120.3"/>
    <n v="109.6"/>
    <n v="113.4"/>
    <n v="119"/>
    <n v="1713.6"/>
    <n v="355.2"/>
    <n v="346.1"/>
    <n v="222.6"/>
    <n v="109.7"/>
    <n v="114"/>
    <n v="120.3"/>
  </r>
  <r>
    <s v="Rural+Urban"/>
    <x v="1"/>
    <x v="11"/>
    <x v="24"/>
    <n v="123.3"/>
    <n v="123.7"/>
    <n v="121"/>
    <n v="124.2"/>
    <n v="107.8"/>
    <n v="125.7"/>
    <n v="152.4"/>
    <n v="117.2"/>
    <n v="102.1"/>
    <n v="118.7"/>
    <n v="116.4"/>
    <n v="125.6"/>
    <n v="125.1"/>
    <n v="122.1"/>
    <n v="122.1"/>
    <n v="118.4"/>
    <n v="121.6"/>
    <n v="117.1"/>
    <n v="115.5"/>
    <n v="117.3"/>
    <n v="114.8"/>
    <n v="110.8"/>
    <n v="113.7"/>
    <n v="119"/>
    <n v="109.1"/>
    <n v="113.8"/>
    <n v="120.1"/>
    <n v="1705.3"/>
    <n v="362.1"/>
    <n v="349.9"/>
    <n v="223.89999999999998"/>
    <n v="110.8"/>
    <n v="113.7"/>
    <n v="119"/>
  </r>
  <r>
    <s v="Rural"/>
    <x v="1"/>
    <x v="12"/>
    <x v="25"/>
    <n v="122.4"/>
    <n v="122.4"/>
    <n v="121.8"/>
    <n v="124.2"/>
    <n v="110.2"/>
    <n v="128.6"/>
    <n v="140.30000000000001"/>
    <n v="116.3"/>
    <n v="102"/>
    <n v="116"/>
    <n v="117.3"/>
    <n v="124.8"/>
    <n v="123.3"/>
    <n v="121.7"/>
    <n v="123.8"/>
    <n v="120.6"/>
    <n v="123.3"/>
    <s v="NA"/>
    <n v="117.4"/>
    <n v="118.2"/>
    <n v="116.2"/>
    <n v="111.5"/>
    <n v="113.3"/>
    <n v="117.7"/>
    <n v="109.4"/>
    <n v="114.2"/>
    <n v="120.3"/>
    <n v="1691.3"/>
    <n v="367.7"/>
    <n v="235.60000000000002"/>
    <n v="225.60000000000002"/>
    <n v="111.5"/>
    <n v="113.3"/>
    <n v="117.7"/>
  </r>
  <r>
    <s v="Urban"/>
    <x v="1"/>
    <x v="12"/>
    <x v="25"/>
    <n v="124"/>
    <n v="124.7"/>
    <n v="126.3"/>
    <n v="124.9"/>
    <n v="103"/>
    <n v="122.3"/>
    <n v="141"/>
    <n v="120.1"/>
    <n v="97.8"/>
    <n v="125.4"/>
    <n v="116.1"/>
    <n v="127.6"/>
    <n v="124"/>
    <n v="126.4"/>
    <n v="120.7"/>
    <n v="115.8"/>
    <n v="120"/>
    <n v="116.5"/>
    <n v="113"/>
    <n v="116.8"/>
    <n v="113.2"/>
    <n v="108.8"/>
    <n v="114.3"/>
    <n v="120.7"/>
    <n v="110.4"/>
    <n v="113.4"/>
    <n v="118.4"/>
    <n v="1703.6"/>
    <n v="356.5"/>
    <n v="346.3"/>
    <n v="223.60000000000002"/>
    <n v="108.8"/>
    <n v="114.3"/>
    <n v="120.7"/>
  </r>
  <r>
    <s v="Rural+Urban"/>
    <x v="1"/>
    <x v="12"/>
    <x v="25"/>
    <n v="122.9"/>
    <n v="123.2"/>
    <n v="123.5"/>
    <n v="124.5"/>
    <n v="107.6"/>
    <n v="125.7"/>
    <n v="140.5"/>
    <n v="117.6"/>
    <n v="100.6"/>
    <n v="119.1"/>
    <n v="116.8"/>
    <n v="126.1"/>
    <n v="123.6"/>
    <n v="123"/>
    <n v="122.6"/>
    <n v="118.6"/>
    <n v="122"/>
    <n v="116.5"/>
    <n v="115.7"/>
    <n v="117.5"/>
    <n v="115.1"/>
    <n v="110.1"/>
    <n v="113.9"/>
    <n v="119.5"/>
    <n v="109.8"/>
    <n v="113.8"/>
    <n v="119.4"/>
    <n v="1694.6999999999998"/>
    <n v="363.2"/>
    <n v="349.7"/>
    <n v="224.89999999999998"/>
    <n v="110.1"/>
    <n v="113.9"/>
    <n v="119.5"/>
  </r>
  <r>
    <s v="Rural"/>
    <x v="2"/>
    <x v="0"/>
    <x v="26"/>
    <n v="123.1"/>
    <n v="123.1"/>
    <n v="122.1"/>
    <n v="124.9"/>
    <n v="111"/>
    <n v="130.4"/>
    <n v="132.30000000000001"/>
    <n v="117.2"/>
    <n v="100.5"/>
    <n v="117.2"/>
    <n v="117.9"/>
    <n v="125.6"/>
    <n v="122.8"/>
    <n v="122.7"/>
    <n v="124.4"/>
    <n v="121.6"/>
    <n v="124"/>
    <s v="NA"/>
    <n v="118.4"/>
    <n v="118.9"/>
    <n v="116.6"/>
    <n v="111"/>
    <n v="114"/>
    <n v="118.2"/>
    <n v="110.2"/>
    <n v="114.5"/>
    <n v="120.3"/>
    <n v="1690.8"/>
    <n v="370"/>
    <n v="237.3"/>
    <n v="226.8"/>
    <n v="111"/>
    <n v="114"/>
    <n v="118.2"/>
  </r>
  <r>
    <s v="Urban"/>
    <x v="2"/>
    <x v="0"/>
    <x v="26"/>
    <n v="124"/>
    <n v="125.5"/>
    <n v="126.6"/>
    <n v="125.2"/>
    <n v="104.3"/>
    <n v="121.3"/>
    <n v="134.4"/>
    <n v="122.9"/>
    <n v="96.1"/>
    <n v="126.6"/>
    <n v="116.5"/>
    <n v="128"/>
    <n v="123.5"/>
    <n v="127.4"/>
    <n v="121"/>
    <n v="116.1"/>
    <n v="120.2"/>
    <n v="117.3"/>
    <n v="113.4"/>
    <n v="117.2"/>
    <n v="113.7"/>
    <n v="107.9"/>
    <n v="114.6"/>
    <n v="120.8"/>
    <n v="111.4"/>
    <n v="113.4"/>
    <n v="118.5"/>
    <n v="1702.3"/>
    <n v="357.3"/>
    <n v="347.9"/>
    <n v="225.10000000000002"/>
    <n v="107.9"/>
    <n v="114.6"/>
    <n v="120.8"/>
  </r>
  <r>
    <s v="Rural+Urban"/>
    <x v="2"/>
    <x v="0"/>
    <x v="26"/>
    <n v="123.4"/>
    <n v="123.9"/>
    <n v="123.8"/>
    <n v="125"/>
    <n v="108.5"/>
    <n v="126.2"/>
    <n v="133"/>
    <n v="119.1"/>
    <n v="99"/>
    <n v="120.3"/>
    <n v="117.3"/>
    <n v="126.7"/>
    <n v="123.1"/>
    <n v="124"/>
    <n v="123.1"/>
    <n v="119.3"/>
    <n v="122.5"/>
    <n v="117.3"/>
    <n v="116.5"/>
    <n v="118.1"/>
    <n v="115.5"/>
    <n v="109.4"/>
    <n v="114.3"/>
    <n v="119.7"/>
    <n v="110.7"/>
    <n v="114"/>
    <n v="119.5"/>
    <n v="1693.3"/>
    <n v="364.9"/>
    <n v="351.9"/>
    <n v="226.2"/>
    <n v="109.4"/>
    <n v="114.3"/>
    <n v="119.7"/>
  </r>
  <r>
    <s v="Rural"/>
    <x v="2"/>
    <x v="1"/>
    <x v="27"/>
    <n v="123.4"/>
    <n v="124.4"/>
    <n v="122.1"/>
    <n v="125.8"/>
    <n v="111.5"/>
    <n v="129.4"/>
    <n v="128.19999999999999"/>
    <n v="118.8"/>
    <n v="100"/>
    <n v="118.6"/>
    <n v="118.8"/>
    <n v="126.8"/>
    <n v="122.8"/>
    <n v="124.2"/>
    <n v="125.4"/>
    <n v="122.7"/>
    <n v="125"/>
    <s v="NA"/>
    <n v="120"/>
    <n v="119.6"/>
    <n v="117.7"/>
    <n v="110.9"/>
    <n v="114.8"/>
    <n v="118.7"/>
    <n v="110.8"/>
    <n v="115"/>
    <n v="120.6"/>
    <n v="1694.7999999999997"/>
    <n v="373.1"/>
    <n v="239.6"/>
    <n v="228.5"/>
    <n v="110.9"/>
    <n v="114.8"/>
    <n v="118.7"/>
  </r>
  <r>
    <s v="Urban"/>
    <x v="2"/>
    <x v="1"/>
    <x v="27"/>
    <n v="124.3"/>
    <n v="126.5"/>
    <n v="119.5"/>
    <n v="125.6"/>
    <n v="104.9"/>
    <n v="121.6"/>
    <n v="131.80000000000001"/>
    <n v="125.1"/>
    <n v="95"/>
    <n v="127.7"/>
    <n v="116.8"/>
    <n v="128.6"/>
    <n v="123.7"/>
    <n v="128.1"/>
    <n v="121.3"/>
    <n v="116.5"/>
    <n v="120.6"/>
    <n v="118.1"/>
    <n v="114"/>
    <n v="117.7"/>
    <n v="114.1"/>
    <n v="106.8"/>
    <n v="114.9"/>
    <n v="120.4"/>
    <n v="111.7"/>
    <n v="113.2"/>
    <n v="118.7"/>
    <n v="1699.2"/>
    <n v="358.4"/>
    <n v="349.8"/>
    <n v="225.8"/>
    <n v="106.8"/>
    <n v="114.9"/>
    <n v="120.4"/>
  </r>
  <r>
    <s v="Rural+Urban"/>
    <x v="2"/>
    <x v="1"/>
    <x v="27"/>
    <n v="123.7"/>
    <n v="125.1"/>
    <n v="121.1"/>
    <n v="125.7"/>
    <n v="109.1"/>
    <n v="125.8"/>
    <n v="129.4"/>
    <n v="120.9"/>
    <n v="98.3"/>
    <n v="121.6"/>
    <n v="118"/>
    <n v="127.6"/>
    <n v="123.1"/>
    <n v="125.2"/>
    <n v="123.8"/>
    <n v="120.1"/>
    <n v="123.3"/>
    <n v="118.1"/>
    <n v="117.7"/>
    <n v="118.7"/>
    <n v="116.3"/>
    <n v="108.7"/>
    <n v="114.9"/>
    <n v="119.7"/>
    <n v="111.2"/>
    <n v="114.1"/>
    <n v="119.7"/>
    <n v="1694.5999999999997"/>
    <n v="367.2"/>
    <n v="354.5"/>
    <n v="227.5"/>
    <n v="108.7"/>
    <n v="114.9"/>
    <n v="119.7"/>
  </r>
  <r>
    <s v="Rural"/>
    <x v="2"/>
    <x v="2"/>
    <x v="28"/>
    <n v="123.3"/>
    <n v="124.7"/>
    <n v="118.9"/>
    <n v="126"/>
    <n v="111.8"/>
    <n v="130.9"/>
    <n v="128"/>
    <n v="119.9"/>
    <n v="98.9"/>
    <n v="119.4"/>
    <n v="118.9"/>
    <n v="127.7"/>
    <n v="123.1"/>
    <n v="124.7"/>
    <n v="126"/>
    <n v="122.9"/>
    <n v="125.5"/>
    <s v="NA"/>
    <n v="120.6"/>
    <n v="120.2"/>
    <n v="118.2"/>
    <n v="111.6"/>
    <n v="115.5"/>
    <n v="119.4"/>
    <n v="110.8"/>
    <n v="115.5"/>
    <n v="121.1"/>
    <n v="1696.2"/>
    <n v="374.4"/>
    <n v="240.8"/>
    <n v="229"/>
    <n v="111.6"/>
    <n v="115.5"/>
    <n v="119.4"/>
  </r>
  <r>
    <s v="Urban"/>
    <x v="2"/>
    <x v="2"/>
    <x v="28"/>
    <n v="124"/>
    <n v="126.7"/>
    <n v="113.5"/>
    <n v="125.9"/>
    <n v="104.8"/>
    <n v="123.8"/>
    <n v="131.4"/>
    <n v="127.2"/>
    <n v="93.2"/>
    <n v="127.4"/>
    <n v="117"/>
    <n v="129.19999999999999"/>
    <n v="123.9"/>
    <n v="128.80000000000001"/>
    <n v="121.7"/>
    <n v="116.9"/>
    <n v="120.9"/>
    <n v="118.6"/>
    <n v="114.4"/>
    <n v="118"/>
    <n v="114.3"/>
    <n v="108.4"/>
    <n v="115.4"/>
    <n v="120.6"/>
    <n v="111.3"/>
    <n v="113.8"/>
    <n v="119.1"/>
    <n v="1696.8000000000002"/>
    <n v="359.5"/>
    <n v="351"/>
    <n v="225.6"/>
    <n v="108.4"/>
    <n v="115.4"/>
    <n v="120.6"/>
  </r>
  <r>
    <s v="Rural+Urban"/>
    <x v="2"/>
    <x v="2"/>
    <x v="28"/>
    <n v="123.5"/>
    <n v="125.4"/>
    <n v="116.8"/>
    <n v="126"/>
    <n v="109.2"/>
    <n v="127.6"/>
    <n v="129.19999999999999"/>
    <n v="122.4"/>
    <n v="97"/>
    <n v="122.1"/>
    <n v="118.1"/>
    <n v="128.4"/>
    <n v="123.4"/>
    <n v="125.8"/>
    <n v="124.3"/>
    <n v="120.4"/>
    <n v="123.7"/>
    <n v="118.6"/>
    <n v="118.3"/>
    <n v="119.2"/>
    <n v="116.7"/>
    <n v="109.9"/>
    <n v="115.4"/>
    <n v="120.1"/>
    <n v="111"/>
    <n v="114.7"/>
    <n v="120.2"/>
    <n v="1694.8999999999999"/>
    <n v="368.4"/>
    <n v="356.09999999999997"/>
    <n v="227.7"/>
    <n v="109.9"/>
    <n v="115.4"/>
    <n v="120.1"/>
  </r>
  <r>
    <s v="Rural"/>
    <x v="2"/>
    <x v="3"/>
    <x v="29"/>
    <n v="123.3"/>
    <n v="125.5"/>
    <n v="117.2"/>
    <n v="126.8"/>
    <n v="111.9"/>
    <n v="134.19999999999999"/>
    <n v="127.5"/>
    <n v="121.5"/>
    <n v="97.8"/>
    <n v="119.8"/>
    <n v="119.4"/>
    <n v="128.69999999999999"/>
    <n v="123.6"/>
    <n v="125.7"/>
    <n v="126.4"/>
    <n v="123.3"/>
    <n v="126"/>
    <s v="NA"/>
    <n v="121.2"/>
    <n v="120.9"/>
    <n v="118.6"/>
    <n v="111.9"/>
    <n v="116.2"/>
    <n v="119.9"/>
    <n v="111.6"/>
    <n v="116"/>
    <n v="121.5"/>
    <n v="1702.9"/>
    <n v="375.7"/>
    <n v="242.10000000000002"/>
    <n v="230.2"/>
    <n v="111.9"/>
    <n v="116.2"/>
    <n v="119.9"/>
  </r>
  <r>
    <s v="Urban"/>
    <x v="2"/>
    <x v="3"/>
    <x v="29"/>
    <n v="123.8"/>
    <n v="128.19999999999999"/>
    <n v="110"/>
    <n v="126.3"/>
    <n v="104.5"/>
    <n v="130.6"/>
    <n v="130.80000000000001"/>
    <n v="131.30000000000001"/>
    <n v="91.6"/>
    <n v="127.7"/>
    <n v="117.2"/>
    <n v="129.5"/>
    <n v="124.6"/>
    <n v="130.1"/>
    <n v="122.1"/>
    <n v="117.2"/>
    <n v="121.3"/>
    <n v="119.2"/>
    <n v="114.7"/>
    <n v="118.4"/>
    <n v="114.6"/>
    <n v="108.4"/>
    <n v="115.6"/>
    <n v="121.7"/>
    <n v="111.8"/>
    <n v="114.2"/>
    <n v="119.7"/>
    <n v="1706.1999999999998"/>
    <n v="360.6"/>
    <n v="352.3"/>
    <n v="226.39999999999998"/>
    <n v="108.4"/>
    <n v="115.6"/>
    <n v="121.7"/>
  </r>
  <r>
    <s v="Rural+Urban"/>
    <x v="2"/>
    <x v="3"/>
    <x v="29"/>
    <n v="123.5"/>
    <n v="126.4"/>
    <n v="114.4"/>
    <n v="126.6"/>
    <n v="109.2"/>
    <n v="132.5"/>
    <n v="128.6"/>
    <n v="124.8"/>
    <n v="95.7"/>
    <n v="122.4"/>
    <n v="118.5"/>
    <n v="129.1"/>
    <n v="124"/>
    <n v="126.9"/>
    <n v="124.7"/>
    <n v="120.8"/>
    <n v="124.1"/>
    <n v="119.2"/>
    <n v="118.7"/>
    <n v="119.7"/>
    <n v="117.1"/>
    <n v="110.1"/>
    <n v="115.9"/>
    <n v="121"/>
    <n v="111.7"/>
    <n v="115.1"/>
    <n v="120.7"/>
    <n v="1702.6000000000001"/>
    <n v="369.6"/>
    <n v="357.6"/>
    <n v="228.8"/>
    <n v="110.1"/>
    <n v="115.9"/>
    <n v="121"/>
  </r>
  <r>
    <s v="Rural"/>
    <x v="2"/>
    <x v="4"/>
    <x v="30"/>
    <n v="123.5"/>
    <n v="127.1"/>
    <n v="117.3"/>
    <n v="127.7"/>
    <n v="112.5"/>
    <n v="134.1"/>
    <n v="128.5"/>
    <n v="124.3"/>
    <n v="97.6"/>
    <n v="120.7"/>
    <n v="120.2"/>
    <n v="129.80000000000001"/>
    <n v="124.4"/>
    <n v="126.7"/>
    <n v="127.3"/>
    <n v="124.1"/>
    <n v="126.8"/>
    <s v="NA"/>
    <n v="121.9"/>
    <n v="121.5"/>
    <n v="119.4"/>
    <n v="113.3"/>
    <n v="116.7"/>
    <n v="120.5"/>
    <n v="112.3"/>
    <n v="116.9"/>
    <n v="122.4"/>
    <n v="1714.4"/>
    <n v="378.2"/>
    <n v="243.4"/>
    <n v="231.7"/>
    <n v="113.3"/>
    <n v="116.7"/>
    <n v="120.5"/>
  </r>
  <r>
    <s v="Urban"/>
    <x v="2"/>
    <x v="4"/>
    <x v="30"/>
    <n v="123.8"/>
    <n v="129.69999999999999"/>
    <n v="111.3"/>
    <n v="126.6"/>
    <n v="105.2"/>
    <n v="130.80000000000001"/>
    <n v="135.6"/>
    <n v="142.6"/>
    <n v="90.8"/>
    <n v="128.80000000000001"/>
    <n v="117.7"/>
    <n v="129.9"/>
    <n v="126.1"/>
    <n v="131.30000000000001"/>
    <n v="122.4"/>
    <n v="117.4"/>
    <n v="121.6"/>
    <n v="119.6"/>
    <n v="114.9"/>
    <n v="118.7"/>
    <n v="114.9"/>
    <n v="110.8"/>
    <n v="116"/>
    <n v="122"/>
    <n v="112.4"/>
    <n v="115.2"/>
    <n v="120.7"/>
    <n v="1730.2"/>
    <n v="361.4"/>
    <n v="353.2"/>
    <n v="227.3"/>
    <n v="110.8"/>
    <n v="116"/>
    <n v="122"/>
  </r>
  <r>
    <s v="Rural+Urban"/>
    <x v="2"/>
    <x v="4"/>
    <x v="30"/>
    <n v="123.6"/>
    <n v="128"/>
    <n v="115"/>
    <n v="127.3"/>
    <n v="109.8"/>
    <n v="132.6"/>
    <n v="130.9"/>
    <n v="130.5"/>
    <n v="95.3"/>
    <n v="123.4"/>
    <n v="119.2"/>
    <n v="129.80000000000001"/>
    <n v="125"/>
    <n v="127.9"/>
    <n v="125.4"/>
    <n v="121.3"/>
    <n v="124.7"/>
    <n v="119.6"/>
    <n v="119.2"/>
    <n v="120.2"/>
    <n v="117.7"/>
    <n v="112"/>
    <n v="116.3"/>
    <n v="121.4"/>
    <n v="112.3"/>
    <n v="116.1"/>
    <n v="121.6"/>
    <n v="1718.3000000000002"/>
    <n v="371.4"/>
    <n v="359"/>
    <n v="230"/>
    <n v="112"/>
    <n v="116.3"/>
    <n v="121.4"/>
  </r>
  <r>
    <s v="Rural"/>
    <x v="2"/>
    <x v="5"/>
    <x v="31"/>
    <n v="124.1"/>
    <n v="130.4"/>
    <n v="122.1"/>
    <n v="128.69999999999999"/>
    <n v="114.1"/>
    <n v="133.19999999999999"/>
    <n v="135.19999999999999"/>
    <n v="131.9"/>
    <n v="96.3"/>
    <n v="123"/>
    <n v="121.1"/>
    <n v="131.19999999999999"/>
    <n v="126.6"/>
    <n v="128.19999999999999"/>
    <n v="128.4"/>
    <n v="125.1"/>
    <n v="128"/>
    <s v="NA"/>
    <n v="122.6"/>
    <n v="122.8"/>
    <n v="120.4"/>
    <n v="114.2"/>
    <n v="117.9"/>
    <n v="122"/>
    <n v="113"/>
    <n v="117.9"/>
    <n v="124.1"/>
    <n v="1746.1"/>
    <n v="381.5"/>
    <n v="245.39999999999998"/>
    <n v="233.4"/>
    <n v="114.2"/>
    <n v="117.9"/>
    <n v="122"/>
  </r>
  <r>
    <s v="Urban"/>
    <x v="2"/>
    <x v="5"/>
    <x v="31"/>
    <n v="123.6"/>
    <n v="134.4"/>
    <n v="120.9"/>
    <n v="127.3"/>
    <n v="106"/>
    <n v="132.30000000000001"/>
    <n v="146.69999999999999"/>
    <n v="148.1"/>
    <n v="89.8"/>
    <n v="130.5"/>
    <n v="118"/>
    <n v="130.5"/>
    <n v="128.5"/>
    <n v="132.1"/>
    <n v="123.2"/>
    <n v="117.6"/>
    <n v="122.3"/>
    <n v="119"/>
    <n v="115.1"/>
    <n v="119.2"/>
    <n v="115.4"/>
    <n v="111.7"/>
    <n v="116.2"/>
    <n v="123.8"/>
    <n v="112.5"/>
    <n v="116"/>
    <n v="121.7"/>
    <n v="1768.6999999999998"/>
    <n v="363.1"/>
    <n v="353.3"/>
    <n v="227.9"/>
    <n v="111.7"/>
    <n v="116.2"/>
    <n v="123.8"/>
  </r>
  <r>
    <s v="Rural+Urban"/>
    <x v="2"/>
    <x v="5"/>
    <x v="31"/>
    <n v="123.9"/>
    <n v="131.80000000000001"/>
    <n v="121.6"/>
    <n v="128.19999999999999"/>
    <n v="111.1"/>
    <n v="132.80000000000001"/>
    <n v="139.1"/>
    <n v="137.4"/>
    <n v="94.1"/>
    <n v="125.5"/>
    <n v="119.8"/>
    <n v="130.9"/>
    <n v="127.3"/>
    <n v="129.19999999999999"/>
    <n v="126.4"/>
    <n v="122"/>
    <n v="125.7"/>
    <n v="119"/>
    <n v="119.8"/>
    <n v="121.1"/>
    <n v="118.5"/>
    <n v="112.9"/>
    <n v="116.9"/>
    <n v="123.1"/>
    <n v="112.8"/>
    <n v="117"/>
    <n v="123"/>
    <n v="1752.7"/>
    <n v="374.1"/>
    <n v="359.9"/>
    <n v="231.3"/>
    <n v="112.9"/>
    <n v="116.9"/>
    <n v="123.1"/>
  </r>
  <r>
    <s v="Rural"/>
    <x v="2"/>
    <x v="6"/>
    <x v="32"/>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n v="1754.7"/>
    <n v="382.6"/>
    <n v="246"/>
    <n v="233.5"/>
    <n v="114.1"/>
    <n v="118"/>
    <n v="122.9"/>
  </r>
  <r>
    <s v="Urban"/>
    <x v="2"/>
    <x v="6"/>
    <x v="32"/>
    <n v="123.2"/>
    <n v="134.30000000000001"/>
    <n v="119.5"/>
    <n v="127.7"/>
    <n v="106.3"/>
    <n v="132.80000000000001"/>
    <n v="153.5"/>
    <n v="149.5"/>
    <n v="85.7"/>
    <n v="131.5"/>
    <n v="118.3"/>
    <n v="131.1"/>
    <n v="129.5"/>
    <n v="133.1"/>
    <n v="123.5"/>
    <n v="117.9"/>
    <n v="122.7"/>
    <n v="119.9"/>
    <n v="115.3"/>
    <n v="119.5"/>
    <n v="116"/>
    <n v="111.5"/>
    <n v="116.6"/>
    <n v="125.4"/>
    <n v="111.7"/>
    <n v="116.3"/>
    <n v="122.4"/>
    <n v="1775.9999999999998"/>
    <n v="364.1"/>
    <n v="354.7"/>
    <n v="227.7"/>
    <n v="111.5"/>
    <n v="116.6"/>
    <n v="125.4"/>
  </r>
  <r>
    <s v="Rural+Urban"/>
    <x v="2"/>
    <x v="6"/>
    <x v="32"/>
    <n v="123.7"/>
    <n v="132.5"/>
    <n v="121"/>
    <n v="128.30000000000001"/>
    <n v="110.9"/>
    <n v="133.1"/>
    <n v="145.1"/>
    <n v="139.1"/>
    <n v="91.3"/>
    <n v="126.1"/>
    <n v="119.9"/>
    <n v="131.4"/>
    <n v="128.19999999999999"/>
    <n v="130.4"/>
    <n v="126.7"/>
    <n v="122.3"/>
    <n v="126.1"/>
    <n v="119.9"/>
    <n v="120.1"/>
    <n v="121.3"/>
    <n v="119"/>
    <n v="112.7"/>
    <n v="117.2"/>
    <n v="124.4"/>
    <n v="112.3"/>
    <n v="117.2"/>
    <n v="123.6"/>
    <n v="1761.0000000000002"/>
    <n v="375.1"/>
    <n v="361.3"/>
    <n v="231.3"/>
    <n v="112.7"/>
    <n v="117.2"/>
    <n v="124.4"/>
  </r>
  <r>
    <s v="Rural"/>
    <x v="2"/>
    <x v="7"/>
    <x v="33"/>
    <n v="124.7"/>
    <n v="131.30000000000001"/>
    <n v="121.3"/>
    <n v="128.80000000000001"/>
    <n v="114"/>
    <n v="134.19999999999999"/>
    <n v="153.6"/>
    <n v="137.9"/>
    <n v="93.1"/>
    <n v="123.9"/>
    <n v="121.5"/>
    <n v="132.5"/>
    <n v="129.80000000000001"/>
    <n v="130.1"/>
    <n v="129.5"/>
    <n v="126.3"/>
    <n v="129"/>
    <s v="NA"/>
    <n v="123.8"/>
    <n v="123.7"/>
    <n v="121.1"/>
    <n v="113.6"/>
    <n v="118.5"/>
    <n v="123.6"/>
    <n v="112.5"/>
    <n v="118.2"/>
    <n v="126.1"/>
    <n v="1776.6999999999998"/>
    <n v="384.8"/>
    <n v="247.5"/>
    <n v="233.6"/>
    <n v="113.6"/>
    <n v="118.5"/>
    <n v="123.6"/>
  </r>
  <r>
    <s v="Urban"/>
    <x v="2"/>
    <x v="7"/>
    <x v="33"/>
    <n v="123.1"/>
    <n v="131.69999999999999"/>
    <n v="118.1"/>
    <n v="128"/>
    <n v="106.8"/>
    <n v="130.1"/>
    <n v="165.5"/>
    <n v="156"/>
    <n v="85.3"/>
    <n v="132.69999999999999"/>
    <n v="118.8"/>
    <n v="131.69999999999999"/>
    <n v="131.1"/>
    <n v="134.19999999999999"/>
    <n v="123.7"/>
    <n v="118.2"/>
    <n v="122.9"/>
    <n v="120.9"/>
    <n v="115.3"/>
    <n v="120"/>
    <n v="116.6"/>
    <n v="109.9"/>
    <n v="117.2"/>
    <n v="126.2"/>
    <n v="112"/>
    <n v="116.2"/>
    <n v="123.2"/>
    <n v="1793.1"/>
    <n v="364.8"/>
    <n v="356.2"/>
    <n v="228.6"/>
    <n v="109.9"/>
    <n v="117.2"/>
    <n v="126.2"/>
  </r>
  <r>
    <s v="Rural+Urban"/>
    <x v="2"/>
    <x v="7"/>
    <x v="33"/>
    <n v="124.2"/>
    <n v="131.4"/>
    <n v="120.1"/>
    <n v="128.5"/>
    <n v="111.4"/>
    <n v="132.30000000000001"/>
    <n v="157.6"/>
    <n v="144"/>
    <n v="90.5"/>
    <n v="126.8"/>
    <n v="120.4"/>
    <n v="132.1"/>
    <n v="130.30000000000001"/>
    <n v="131.19999999999999"/>
    <n v="127.2"/>
    <n v="122.9"/>
    <n v="126.6"/>
    <n v="120.9"/>
    <n v="120.6"/>
    <n v="122"/>
    <n v="119.4"/>
    <n v="111.7"/>
    <n v="117.8"/>
    <n v="125.1"/>
    <n v="112.3"/>
    <n v="117.2"/>
    <n v="124.8"/>
    <n v="1780.8"/>
    <n v="376.70000000000005"/>
    <n v="363.5"/>
    <n v="231.7"/>
    <n v="111.7"/>
    <n v="117.8"/>
    <n v="125.1"/>
  </r>
  <r>
    <s v="Rural"/>
    <x v="2"/>
    <x v="8"/>
    <x v="34"/>
    <n v="125.1"/>
    <n v="131.1"/>
    <n v="120.7"/>
    <n v="129.19999999999999"/>
    <n v="114.7"/>
    <n v="132.30000000000001"/>
    <n v="158.9"/>
    <n v="142.1"/>
    <n v="92.5"/>
    <n v="125.4"/>
    <n v="121.9"/>
    <n v="132.69999999999999"/>
    <n v="131"/>
    <n v="131"/>
    <n v="130.4"/>
    <n v="126.8"/>
    <n v="129.9"/>
    <s v="NA"/>
    <n v="123.7"/>
    <n v="124.5"/>
    <n v="121.4"/>
    <n v="113.8"/>
    <n v="119.6"/>
    <n v="124.5"/>
    <n v="113.7"/>
    <n v="118.8"/>
    <n v="127"/>
    <n v="1788.6000000000001"/>
    <n v="387.1"/>
    <n v="248.2"/>
    <n v="235.10000000000002"/>
    <n v="113.8"/>
    <n v="119.6"/>
    <n v="124.5"/>
  </r>
  <r>
    <s v="Urban"/>
    <x v="2"/>
    <x v="8"/>
    <x v="34"/>
    <n v="123.4"/>
    <n v="129"/>
    <n v="115.6"/>
    <n v="128.30000000000001"/>
    <n v="107"/>
    <n v="124"/>
    <n v="168.5"/>
    <n v="165.4"/>
    <n v="86.3"/>
    <n v="134.4"/>
    <n v="119.1"/>
    <n v="132.30000000000001"/>
    <n v="131.5"/>
    <n v="134.69999999999999"/>
    <n v="124"/>
    <n v="118.6"/>
    <n v="123.2"/>
    <n v="121.6"/>
    <n v="115.1"/>
    <n v="120.4"/>
    <n v="117.1"/>
    <n v="109.1"/>
    <n v="117.3"/>
    <n v="126.5"/>
    <n v="112.9"/>
    <n v="116.2"/>
    <n v="123.5"/>
    <n v="1799.5"/>
    <n v="365.8"/>
    <n v="357.1"/>
    <n v="230"/>
    <n v="109.1"/>
    <n v="117.3"/>
    <n v="126.5"/>
  </r>
  <r>
    <s v="Rural+Urban"/>
    <x v="2"/>
    <x v="8"/>
    <x v="34"/>
    <n v="124.6"/>
    <n v="130.4"/>
    <n v="118.7"/>
    <n v="128.9"/>
    <n v="111.9"/>
    <n v="128.4"/>
    <n v="162.19999999999999"/>
    <n v="150"/>
    <n v="90.4"/>
    <n v="128.4"/>
    <n v="120.7"/>
    <n v="132.5"/>
    <n v="131.19999999999999"/>
    <n v="132"/>
    <n v="127.9"/>
    <n v="123.4"/>
    <n v="127.2"/>
    <n v="121.6"/>
    <n v="120.4"/>
    <n v="122.6"/>
    <n v="119.8"/>
    <n v="111.3"/>
    <n v="118.3"/>
    <n v="125.7"/>
    <n v="113.4"/>
    <n v="117.5"/>
    <n v="125.4"/>
    <n v="1790.3000000000002"/>
    <n v="378.5"/>
    <n v="364.6"/>
    <n v="233.2"/>
    <n v="111.3"/>
    <n v="118.3"/>
    <n v="125.7"/>
  </r>
  <r>
    <s v="Rural"/>
    <x v="2"/>
    <x v="9"/>
    <x v="35"/>
    <n v="125.6"/>
    <n v="130.4"/>
    <n v="120.8"/>
    <n v="129.4"/>
    <n v="115.8"/>
    <n v="133.19999999999999"/>
    <n v="157.69999999999999"/>
    <n v="154.19999999999999"/>
    <n v="93.7"/>
    <n v="126.6"/>
    <n v="122.3"/>
    <n v="133.1"/>
    <n v="131.80000000000001"/>
    <n v="131.5"/>
    <n v="131.1"/>
    <n v="127.3"/>
    <n v="130.6"/>
    <s v="NA"/>
    <n v="124.4"/>
    <n v="125.1"/>
    <n v="122"/>
    <n v="113.8"/>
    <n v="120.1"/>
    <n v="125.1"/>
    <n v="114.2"/>
    <n v="119.2"/>
    <n v="127.7"/>
    <n v="1806.1"/>
    <n v="389"/>
    <n v="249.5"/>
    <n v="236.2"/>
    <n v="113.8"/>
    <n v="120.1"/>
    <n v="125.1"/>
  </r>
  <r>
    <s v="Urban"/>
    <x v="2"/>
    <x v="9"/>
    <x v="35"/>
    <n v="123.6"/>
    <n v="128.6"/>
    <n v="115.9"/>
    <n v="128.5"/>
    <n v="109"/>
    <n v="124.1"/>
    <n v="165.8"/>
    <n v="187.2"/>
    <n v="89.4"/>
    <n v="135.80000000000001"/>
    <n v="119.4"/>
    <n v="132.9"/>
    <n v="132.6"/>
    <n v="135.30000000000001"/>
    <n v="124.4"/>
    <n v="118.8"/>
    <n v="123.6"/>
    <n v="122.4"/>
    <n v="114.9"/>
    <n v="120.7"/>
    <n v="117.7"/>
    <n v="109.3"/>
    <n v="117.7"/>
    <n v="126.5"/>
    <n v="113.5"/>
    <n v="116.5"/>
    <n v="124.2"/>
    <n v="1828.1000000000001"/>
    <n v="366.79999999999995"/>
    <n v="358"/>
    <n v="231.2"/>
    <n v="109.3"/>
    <n v="117.7"/>
    <n v="126.5"/>
  </r>
  <r>
    <s v="Rural+Urban"/>
    <x v="2"/>
    <x v="9"/>
    <x v="35"/>
    <n v="125"/>
    <n v="129.80000000000001"/>
    <n v="118.9"/>
    <n v="129.1"/>
    <n v="113.3"/>
    <n v="129"/>
    <n v="160.4"/>
    <n v="165.3"/>
    <n v="92.3"/>
    <n v="129.69999999999999"/>
    <n v="121.1"/>
    <n v="133"/>
    <n v="132.1"/>
    <n v="132.5"/>
    <n v="128.5"/>
    <n v="123.8"/>
    <n v="127.8"/>
    <n v="122.4"/>
    <n v="120.8"/>
    <n v="123"/>
    <n v="120.4"/>
    <n v="111.4"/>
    <n v="118.7"/>
    <n v="125.9"/>
    <n v="113.9"/>
    <n v="117.9"/>
    <n v="126.1"/>
    <n v="1811.4999999999998"/>
    <n v="380.1"/>
    <n v="366.2"/>
    <n v="234.3"/>
    <n v="111.4"/>
    <n v="118.7"/>
    <n v="125.9"/>
  </r>
  <r>
    <s v="Rural"/>
    <x v="2"/>
    <x v="11"/>
    <x v="36"/>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n v="1818.5"/>
    <n v="391.79999999999995"/>
    <n v="251.2"/>
    <n v="236.8"/>
    <n v="114"/>
    <n v="120.9"/>
    <n v="125.8"/>
  </r>
  <r>
    <s v="Urban"/>
    <x v="2"/>
    <x v="11"/>
    <x v="36"/>
    <n v="124"/>
    <n v="129.80000000000001"/>
    <n v="121.5"/>
    <n v="128.6"/>
    <n v="110"/>
    <n v="123.7"/>
    <n v="164.6"/>
    <n v="191.6"/>
    <n v="90.8"/>
    <n v="137.1"/>
    <n v="119.8"/>
    <n v="133.69999999999999"/>
    <n v="133.30000000000001"/>
    <n v="137.6"/>
    <n v="125"/>
    <n v="119.3"/>
    <n v="124.2"/>
    <n v="122.9"/>
    <n v="115.1"/>
    <n v="121"/>
    <n v="118.1"/>
    <n v="109.3"/>
    <n v="117.9"/>
    <n v="126.6"/>
    <n v="113.3"/>
    <n v="116.6"/>
    <n v="124.6"/>
    <n v="1846.0999999999997"/>
    <n v="368.5"/>
    <n v="359"/>
    <n v="231.39999999999998"/>
    <n v="109.3"/>
    <n v="117.9"/>
    <n v="126.6"/>
  </r>
  <r>
    <s v="Rural+Urban"/>
    <x v="2"/>
    <x v="11"/>
    <x v="36"/>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825.6999999999998"/>
    <n v="382.4"/>
    <n v="367.9"/>
    <n v="234.7"/>
    <n v="111.5"/>
    <n v="119.2"/>
    <n v="126.3"/>
  </r>
  <r>
    <s v="Rural"/>
    <x v="2"/>
    <x v="12"/>
    <x v="37"/>
    <n v="126.3"/>
    <n v="131.30000000000001"/>
    <n v="123.3"/>
    <n v="129.80000000000001"/>
    <n v="118.3"/>
    <n v="131.6"/>
    <n v="145.5"/>
    <n v="162.1"/>
    <n v="95.4"/>
    <n v="128.9"/>
    <n v="123.3"/>
    <n v="135.1"/>
    <n v="131.4"/>
    <n v="133.1"/>
    <n v="132.5"/>
    <n v="128.5"/>
    <n v="131.9"/>
    <s v="NA"/>
    <n v="125.7"/>
    <n v="126"/>
    <n v="123.1"/>
    <n v="114"/>
    <n v="121.6"/>
    <n v="125.6"/>
    <n v="114.1"/>
    <n v="119.8"/>
    <n v="127.9"/>
    <n v="1815.4"/>
    <n v="392.9"/>
    <n v="251.7"/>
    <n v="237.2"/>
    <n v="114"/>
    <n v="121.6"/>
    <n v="125.6"/>
  </r>
  <r>
    <s v="Urban"/>
    <x v="2"/>
    <x v="12"/>
    <x v="37"/>
    <n v="124.3"/>
    <n v="131.69999999999999"/>
    <n v="127.1"/>
    <n v="128.6"/>
    <n v="110"/>
    <n v="120.8"/>
    <n v="149"/>
    <n v="190.1"/>
    <n v="92.7"/>
    <n v="138.6"/>
    <n v="120.2"/>
    <n v="134.19999999999999"/>
    <n v="131.5"/>
    <n v="138.19999999999999"/>
    <n v="125.4"/>
    <n v="119.5"/>
    <n v="124.5"/>
    <n v="122.4"/>
    <n v="116"/>
    <n v="121"/>
    <n v="118.6"/>
    <n v="109.3"/>
    <n v="118.1"/>
    <n v="126.6"/>
    <n v="113.2"/>
    <n v="116.7"/>
    <n v="124"/>
    <n v="1837"/>
    <n v="369.4"/>
    <n v="359.4"/>
    <n v="231.8"/>
    <n v="109.3"/>
    <n v="118.1"/>
    <n v="126.6"/>
  </r>
  <r>
    <s v="Rural+Urban"/>
    <x v="2"/>
    <x v="12"/>
    <x v="37"/>
    <n v="125.7"/>
    <n v="131.4"/>
    <n v="124.8"/>
    <n v="129.4"/>
    <n v="115.3"/>
    <n v="126.6"/>
    <n v="146.69999999999999"/>
    <n v="171.5"/>
    <n v="94.5"/>
    <n v="132.1"/>
    <n v="122"/>
    <n v="134.69999999999999"/>
    <n v="131.4"/>
    <n v="134.5"/>
    <n v="129.69999999999999"/>
    <n v="124.8"/>
    <n v="129"/>
    <n v="122.4"/>
    <n v="122"/>
    <n v="123.6"/>
    <n v="121.4"/>
    <n v="111.5"/>
    <n v="119.6"/>
    <n v="126.2"/>
    <n v="113.7"/>
    <n v="118.3"/>
    <n v="126.1"/>
    <n v="1820.6000000000001"/>
    <n v="383.5"/>
    <n v="368"/>
    <n v="235.10000000000002"/>
    <n v="111.5"/>
    <n v="119.6"/>
    <n v="126.2"/>
  </r>
  <r>
    <s v="Rural"/>
    <x v="3"/>
    <x v="0"/>
    <x v="38"/>
    <n v="126.8"/>
    <n v="133.19999999999999"/>
    <n v="126.5"/>
    <n v="130.30000000000001"/>
    <n v="118.9"/>
    <n v="131.6"/>
    <n v="140.1"/>
    <n v="163.80000000000001"/>
    <n v="97.7"/>
    <n v="129.6"/>
    <n v="124.3"/>
    <n v="135.9"/>
    <n v="131.4"/>
    <n v="133.6"/>
    <n v="133.19999999999999"/>
    <n v="128.9"/>
    <n v="132.6"/>
    <s v="NA"/>
    <n v="126.2"/>
    <n v="126.6"/>
    <n v="123.7"/>
    <n v="113.6"/>
    <n v="121.4"/>
    <n v="126.2"/>
    <n v="114.9"/>
    <n v="120.1"/>
    <n v="128.1"/>
    <n v="1823.7"/>
    <n v="394.70000000000005"/>
    <n v="252.8"/>
    <n v="238.60000000000002"/>
    <n v="113.6"/>
    <n v="121.4"/>
    <n v="126.2"/>
  </r>
  <r>
    <s v="Urban"/>
    <x v="3"/>
    <x v="0"/>
    <x v="38"/>
    <n v="124.7"/>
    <n v="135.9"/>
    <n v="132"/>
    <n v="129.19999999999999"/>
    <n v="109.7"/>
    <n v="119"/>
    <n v="144.1"/>
    <n v="184.2"/>
    <n v="96.7"/>
    <n v="139.5"/>
    <n v="120.5"/>
    <n v="134.69999999999999"/>
    <n v="131.19999999999999"/>
    <n v="139.5"/>
    <n v="125.8"/>
    <n v="119.8"/>
    <n v="124.9"/>
    <n v="123.4"/>
    <n v="116.9"/>
    <n v="121.6"/>
    <n v="119.1"/>
    <n v="108.9"/>
    <n v="118.5"/>
    <n v="126.4"/>
    <n v="114"/>
    <n v="116.8"/>
    <n v="124.2"/>
    <n v="1840.9"/>
    <n v="370.5"/>
    <n v="361.9"/>
    <n v="233.1"/>
    <n v="108.9"/>
    <n v="118.5"/>
    <n v="126.4"/>
  </r>
  <r>
    <s v="Rural+Urban"/>
    <x v="3"/>
    <x v="0"/>
    <x v="38"/>
    <n v="126.1"/>
    <n v="134.1"/>
    <n v="128.6"/>
    <n v="129.9"/>
    <n v="115.5"/>
    <n v="125.7"/>
    <n v="141.5"/>
    <n v="170.7"/>
    <n v="97.4"/>
    <n v="132.9"/>
    <n v="122.7"/>
    <n v="135.30000000000001"/>
    <n v="131.30000000000001"/>
    <n v="135.19999999999999"/>
    <n v="130.30000000000001"/>
    <n v="125.1"/>
    <n v="129.5"/>
    <n v="123.4"/>
    <n v="122.7"/>
    <n v="124.2"/>
    <n v="122"/>
    <n v="111.1"/>
    <n v="119.8"/>
    <n v="126.3"/>
    <n v="114.5"/>
    <n v="118.5"/>
    <n v="126.3"/>
    <n v="1826.9"/>
    <n v="384.9"/>
    <n v="370.3"/>
    <n v="236.5"/>
    <n v="111.1"/>
    <n v="119.8"/>
    <n v="126.3"/>
  </r>
  <r>
    <s v="Rural"/>
    <x v="3"/>
    <x v="1"/>
    <x v="39"/>
    <n v="127.1"/>
    <n v="133.69999999999999"/>
    <n v="127.7"/>
    <n v="130.69999999999999"/>
    <n v="118.5"/>
    <n v="130.4"/>
    <n v="130.9"/>
    <n v="162.80000000000001"/>
    <n v="98.7"/>
    <n v="130.6"/>
    <n v="124.8"/>
    <n v="136.4"/>
    <n v="130.30000000000001"/>
    <n v="134.4"/>
    <n v="133.9"/>
    <n v="129.80000000000001"/>
    <n v="133.4"/>
    <s v="NA"/>
    <n v="127.5"/>
    <n v="127.1"/>
    <n v="124.3"/>
    <n v="113.9"/>
    <n v="122.3"/>
    <n v="127.1"/>
    <n v="116.8"/>
    <n v="120.9"/>
    <n v="127.9"/>
    <n v="1817"/>
    <n v="397.1"/>
    <n v="254.6"/>
    <n v="241.1"/>
    <n v="113.9"/>
    <n v="122.3"/>
    <n v="127.1"/>
  </r>
  <r>
    <s v="Urban"/>
    <x v="3"/>
    <x v="1"/>
    <x v="39"/>
    <n v="124.8"/>
    <n v="135.1"/>
    <n v="130.30000000000001"/>
    <n v="129.6"/>
    <n v="108.4"/>
    <n v="118.6"/>
    <n v="129.19999999999999"/>
    <n v="176.4"/>
    <n v="99.1"/>
    <n v="139.69999999999999"/>
    <n v="120.6"/>
    <n v="135.19999999999999"/>
    <n v="129.1"/>
    <n v="140"/>
    <n v="126.2"/>
    <n v="120.1"/>
    <n v="125.3"/>
    <n v="124.4"/>
    <n v="116"/>
    <n v="121.8"/>
    <n v="119.5"/>
    <n v="109.1"/>
    <n v="118.8"/>
    <n v="126.3"/>
    <n v="116.2"/>
    <n v="117.2"/>
    <n v="123.8"/>
    <n v="1816.1"/>
    <n v="371.6"/>
    <n v="362.2"/>
    <n v="235.7"/>
    <n v="109.1"/>
    <n v="118.8"/>
    <n v="126.3"/>
  </r>
  <r>
    <s v="Rural+Urban"/>
    <x v="3"/>
    <x v="1"/>
    <x v="39"/>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1814"/>
    <n v="386.9"/>
    <n v="372.1"/>
    <n v="239.1"/>
    <n v="111.4"/>
    <n v="120.3"/>
    <n v="126.6"/>
  </r>
  <r>
    <s v="Rural"/>
    <x v="3"/>
    <x v="2"/>
    <x v="40"/>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n v="1817.7000000000003"/>
    <n v="398.40000000000003"/>
    <n v="254.7"/>
    <n v="242.2"/>
    <n v="113.6"/>
    <n v="122.5"/>
    <n v="127.5"/>
  </r>
  <r>
    <s v="Urban"/>
    <x v="3"/>
    <x v="2"/>
    <x v="40"/>
    <n v="124.8"/>
    <n v="136.30000000000001"/>
    <n v="123.7"/>
    <n v="129.69999999999999"/>
    <n v="107.9"/>
    <n v="119.9"/>
    <n v="128.1"/>
    <n v="170.3"/>
    <n v="101.8"/>
    <n v="140.1"/>
    <n v="120.7"/>
    <n v="135.4"/>
    <n v="128.9"/>
    <n v="140.6"/>
    <n v="126.4"/>
    <n v="120.3"/>
    <n v="125.5"/>
    <n v="124.9"/>
    <n v="114.8"/>
    <n v="122.3"/>
    <n v="119.7"/>
    <n v="108.5"/>
    <n v="119.1"/>
    <n v="126.4"/>
    <n v="117.1"/>
    <n v="117.3"/>
    <n v="123.8"/>
    <n v="1808.2"/>
    <n v="372.2"/>
    <n v="362"/>
    <n v="236.8"/>
    <n v="108.5"/>
    <n v="119.1"/>
    <n v="126.4"/>
  </r>
  <r>
    <s v="Rural+Urban"/>
    <x v="3"/>
    <x v="2"/>
    <x v="40"/>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1811.7"/>
    <n v="387.9"/>
    <n v="372.4"/>
    <n v="240.2"/>
    <n v="110.9"/>
    <n v="120.6"/>
    <n v="126.9"/>
  </r>
  <r>
    <s v="Rural"/>
    <x v="3"/>
    <x v="3"/>
    <x v="41"/>
    <n v="127.4"/>
    <n v="135.4"/>
    <n v="123.4"/>
    <n v="131.30000000000001"/>
    <n v="118.2"/>
    <n v="138.1"/>
    <n v="134.1"/>
    <n v="162.69999999999999"/>
    <n v="105"/>
    <n v="131.4"/>
    <n v="125.4"/>
    <n v="137.4"/>
    <n v="131.80000000000001"/>
    <n v="135.5"/>
    <n v="135"/>
    <n v="130.6"/>
    <n v="134.4"/>
    <s v="NA"/>
    <n v="127"/>
    <n v="128"/>
    <n v="125.2"/>
    <n v="114.4"/>
    <n v="123.2"/>
    <n v="127.9"/>
    <n v="118.4"/>
    <n v="121.7"/>
    <n v="129"/>
    <n v="1837.1000000000004"/>
    <n v="400"/>
    <n v="255"/>
    <n v="243.60000000000002"/>
    <n v="114.4"/>
    <n v="123.2"/>
    <n v="127.9"/>
  </r>
  <r>
    <s v="Urban"/>
    <x v="3"/>
    <x v="3"/>
    <x v="41"/>
    <n v="124.9"/>
    <n v="139.30000000000001"/>
    <n v="119.9"/>
    <n v="130.19999999999999"/>
    <n v="108.9"/>
    <n v="131.1"/>
    <n v="136.80000000000001"/>
    <n v="176.9"/>
    <n v="109.1"/>
    <n v="140.4"/>
    <n v="121.1"/>
    <n v="135.9"/>
    <n v="131.80000000000001"/>
    <n v="141.5"/>
    <n v="126.8"/>
    <n v="120.5"/>
    <n v="125.8"/>
    <n v="125.6"/>
    <n v="114.6"/>
    <n v="122.8"/>
    <n v="120"/>
    <n v="110"/>
    <n v="119.5"/>
    <n v="127.6"/>
    <n v="117.6"/>
    <n v="118.2"/>
    <n v="125.3"/>
    <n v="1847.8"/>
    <n v="373.1"/>
    <n v="363"/>
    <n v="237.6"/>
    <n v="110"/>
    <n v="119.5"/>
    <n v="127.6"/>
  </r>
  <r>
    <s v="Rural+Urban"/>
    <x v="3"/>
    <x v="3"/>
    <x v="41"/>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1838.3999999999999"/>
    <n v="389.20000000000005"/>
    <n v="373.4"/>
    <n v="241.3"/>
    <n v="112.1"/>
    <n v="121.1"/>
    <n v="127.7"/>
  </r>
  <r>
    <s v="Rural"/>
    <x v="3"/>
    <x v="4"/>
    <x v="42"/>
    <n v="127.6"/>
    <n v="137.5"/>
    <n v="124.4"/>
    <n v="132.4"/>
    <n v="118.2"/>
    <n v="138.1"/>
    <n v="141.80000000000001"/>
    <n v="166"/>
    <n v="107.5"/>
    <n v="132.19999999999999"/>
    <n v="126.1"/>
    <n v="138.30000000000001"/>
    <n v="133.6"/>
    <n v="136"/>
    <n v="135.4"/>
    <n v="131.1"/>
    <n v="134.80000000000001"/>
    <s v="NA"/>
    <n v="127.4"/>
    <n v="128.5"/>
    <n v="125.8"/>
    <n v="115.1"/>
    <n v="123.6"/>
    <n v="129.1"/>
    <n v="119.7"/>
    <n v="122.5"/>
    <n v="130.30000000000001"/>
    <n v="1859.6999999999998"/>
    <n v="401.3"/>
    <n v="255.9"/>
    <n v="245.5"/>
    <n v="115.1"/>
    <n v="123.6"/>
    <n v="129.1"/>
  </r>
  <r>
    <s v="Urban"/>
    <x v="3"/>
    <x v="4"/>
    <x v="42"/>
    <n v="125"/>
    <n v="142.1"/>
    <n v="127"/>
    <n v="130.4"/>
    <n v="109.6"/>
    <n v="133.5"/>
    <n v="151.4"/>
    <n v="182.8"/>
    <n v="111.1"/>
    <n v="141.5"/>
    <n v="121.5"/>
    <n v="136.30000000000001"/>
    <n v="134.6"/>
    <n v="142.19999999999999"/>
    <n v="127.2"/>
    <n v="120.7"/>
    <n v="126.2"/>
    <n v="126"/>
    <n v="115"/>
    <n v="123.2"/>
    <n v="120.3"/>
    <n v="110.7"/>
    <n v="119.8"/>
    <n v="128"/>
    <n v="118.5"/>
    <n v="118.7"/>
    <n v="126.6"/>
    <n v="1888.9999999999998"/>
    <n v="374.1"/>
    <n v="364.2"/>
    <n v="238.8"/>
    <n v="110.7"/>
    <n v="119.8"/>
    <n v="128"/>
  </r>
  <r>
    <s v="Rural+Urban"/>
    <x v="3"/>
    <x v="4"/>
    <x v="42"/>
    <n v="126.8"/>
    <n v="139.1"/>
    <n v="125.4"/>
    <n v="131.69999999999999"/>
    <n v="115"/>
    <n v="136"/>
    <n v="145.1"/>
    <n v="171.7"/>
    <n v="108.7"/>
    <n v="135.30000000000001"/>
    <n v="124.2"/>
    <n v="137.4"/>
    <n v="134"/>
    <n v="137.69999999999999"/>
    <n v="132.19999999999999"/>
    <n v="126.8"/>
    <n v="131.4"/>
    <n v="126"/>
    <n v="122.7"/>
    <n v="126"/>
    <n v="123.7"/>
    <n v="112.8"/>
    <n v="121.5"/>
    <n v="128.5"/>
    <n v="119.2"/>
    <n v="120.7"/>
    <n v="128.6"/>
    <n v="1868.1000000000001"/>
    <n v="390.4"/>
    <n v="374.7"/>
    <n v="242.9"/>
    <n v="112.8"/>
    <n v="121.5"/>
    <n v="128.5"/>
  </r>
  <r>
    <s v="Rural"/>
    <x v="3"/>
    <x v="5"/>
    <x v="43"/>
    <n v="128.6"/>
    <n v="138.6"/>
    <n v="126.6"/>
    <n v="133.6"/>
    <n v="118.6"/>
    <n v="137.4"/>
    <n v="152.5"/>
    <n v="169.2"/>
    <n v="108.8"/>
    <n v="133.1"/>
    <n v="126.4"/>
    <n v="139.19999999999999"/>
    <n v="136"/>
    <n v="137.19999999999999"/>
    <n v="136.30000000000001"/>
    <n v="131.6"/>
    <n v="135.6"/>
    <s v="NA"/>
    <n v="128"/>
    <n v="129.30000000000001"/>
    <n v="126.2"/>
    <n v="116.3"/>
    <n v="124.1"/>
    <n v="130.19999999999999"/>
    <n v="119.9"/>
    <n v="123.3"/>
    <n v="131.9"/>
    <n v="1885.8"/>
    <n v="403.5"/>
    <n v="257.3"/>
    <n v="246.10000000000002"/>
    <n v="116.3"/>
    <n v="124.1"/>
    <n v="130.19999999999999"/>
  </r>
  <r>
    <s v="Urban"/>
    <x v="3"/>
    <x v="5"/>
    <x v="43"/>
    <n v="125.9"/>
    <n v="143.9"/>
    <n v="130.9"/>
    <n v="131"/>
    <n v="110.2"/>
    <n v="135.5"/>
    <n v="173.7"/>
    <n v="184.4"/>
    <n v="112"/>
    <n v="142.80000000000001"/>
    <n v="121.6"/>
    <n v="136.9"/>
    <n v="138.19999999999999"/>
    <n v="142.69999999999999"/>
    <n v="127.6"/>
    <n v="121.1"/>
    <n v="126.6"/>
    <n v="125.5"/>
    <n v="115.5"/>
    <n v="123.2"/>
    <n v="120.6"/>
    <n v="112.3"/>
    <n v="119.9"/>
    <n v="129.30000000000001"/>
    <n v="118.8"/>
    <n v="119.6"/>
    <n v="128.1"/>
    <n v="1929.7000000000003"/>
    <n v="375.29999999999995"/>
    <n v="364.2"/>
    <n v="239.39999999999998"/>
    <n v="112.3"/>
    <n v="119.9"/>
    <n v="129.30000000000001"/>
  </r>
  <r>
    <s v="Rural+Urban"/>
    <x v="3"/>
    <x v="5"/>
    <x v="43"/>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1899.3"/>
    <n v="392.1"/>
    <n v="375.20000000000005"/>
    <n v="243.5"/>
    <n v="114.2"/>
    <n v="121.7"/>
    <n v="129.69999999999999"/>
  </r>
  <r>
    <s v="Rural"/>
    <x v="3"/>
    <x v="6"/>
    <x v="44"/>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n v="1908.2999999999997"/>
    <n v="405.9"/>
    <n v="258.2"/>
    <n v="247.60000000000002"/>
    <n v="116.4"/>
    <n v="125.2"/>
    <n v="130.80000000000001"/>
  </r>
  <r>
    <s v="Urban"/>
    <x v="3"/>
    <x v="6"/>
    <x v="44"/>
    <n v="126.8"/>
    <n v="144.19999999999999"/>
    <n v="136.6"/>
    <n v="131.80000000000001"/>
    <n v="111"/>
    <n v="137"/>
    <n v="179.5"/>
    <n v="188.4"/>
    <n v="113.3"/>
    <n v="143.9"/>
    <n v="121.7"/>
    <n v="137.5"/>
    <n v="139.80000000000001"/>
    <n v="142.9"/>
    <n v="127.9"/>
    <n v="121.1"/>
    <n v="126.9"/>
    <n v="126.4"/>
    <n v="115.5"/>
    <n v="123.5"/>
    <n v="120.9"/>
    <n v="111.7"/>
    <n v="120.3"/>
    <n v="130.80000000000001"/>
    <n v="120"/>
    <n v="119.9"/>
    <n v="129"/>
    <n v="1954.4000000000003"/>
    <n v="375.9"/>
    <n v="365.4"/>
    <n v="240.9"/>
    <n v="111.7"/>
    <n v="120.3"/>
    <n v="130.80000000000001"/>
  </r>
  <r>
    <s v="Rural+Urban"/>
    <x v="3"/>
    <x v="6"/>
    <x v="44"/>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1922.8"/>
    <n v="393.8"/>
    <n v="376.70000000000005"/>
    <n v="245"/>
    <n v="113.9"/>
    <n v="122.4"/>
    <n v="130.80000000000001"/>
  </r>
  <r>
    <s v="Rural"/>
    <x v="3"/>
    <x v="7"/>
    <x v="45"/>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n v="1916.3999999999999"/>
    <n v="407.9"/>
    <n v="259.7"/>
    <n v="249"/>
    <n v="116"/>
    <n v="125.5"/>
    <n v="131.9"/>
  </r>
  <r>
    <s v="Urban"/>
    <x v="3"/>
    <x v="7"/>
    <x v="45"/>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1927.5999999999995"/>
    <n v="377"/>
    <n v="365.9"/>
    <n v="242.10000000000002"/>
    <n v="110.4"/>
    <n v="120.6"/>
    <n v="131.5"/>
  </r>
  <r>
    <s v="Rural+Urban"/>
    <x v="3"/>
    <x v="7"/>
    <x v="45"/>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1918.1000000000001"/>
    <n v="395.49999999999994"/>
    <n v="378.29999999999995"/>
    <n v="246.3"/>
    <n v="113.1"/>
    <n v="122.7"/>
    <n v="131.69999999999999"/>
  </r>
  <r>
    <s v="Rural"/>
    <x v="3"/>
    <x v="8"/>
    <x v="46"/>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n v="1910.6000000000001"/>
    <n v="409.8"/>
    <n v="260.79999999999995"/>
    <n v="250.6"/>
    <n v="117"/>
    <n v="125.7"/>
    <n v="132.19999999999999"/>
  </r>
  <r>
    <s v="Urban"/>
    <x v="3"/>
    <x v="8"/>
    <x v="46"/>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1900.2999999999997"/>
    <n v="378"/>
    <n v="367"/>
    <n v="242.60000000000002"/>
    <n v="111.8"/>
    <n v="120.8"/>
    <n v="131.6"/>
  </r>
  <r>
    <s v="Rural+Urban"/>
    <x v="3"/>
    <x v="8"/>
    <x v="46"/>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1904.6999999999998"/>
    <n v="397"/>
    <n v="379.9"/>
    <n v="247.5"/>
    <n v="114.3"/>
    <n v="122.9"/>
    <n v="131.80000000000001"/>
  </r>
  <r>
    <s v="Rural"/>
    <x v="3"/>
    <x v="9"/>
    <x v="47"/>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n v="1912.7000000000003"/>
    <n v="412.7"/>
    <n v="261.60000000000002"/>
    <n v="251.7"/>
    <n v="117.8"/>
    <n v="126.5"/>
    <n v="133"/>
  </r>
  <r>
    <s v="Urban"/>
    <x v="3"/>
    <x v="9"/>
    <x v="47"/>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907.1999999999998"/>
    <n v="379"/>
    <n v="368.4"/>
    <n v="242.6"/>
    <n v="112.8"/>
    <n v="121.2"/>
    <n v="131.9"/>
  </r>
  <r>
    <s v="Rural+Urban"/>
    <x v="3"/>
    <x v="9"/>
    <x v="47"/>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908.5999999999995"/>
    <n v="399.1"/>
    <n v="381.4"/>
    <n v="248.2"/>
    <n v="115.2"/>
    <n v="123.5"/>
    <n v="132.4"/>
  </r>
  <r>
    <s v="Rural"/>
    <x v="3"/>
    <x v="11"/>
    <x v="48"/>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n v="1905.8"/>
    <n v="413.59999999999997"/>
    <n v="262.39999999999998"/>
    <n v="252.6"/>
    <n v="118.2"/>
    <n v="126.9"/>
    <n v="133.69999999999999"/>
  </r>
  <r>
    <s v="Urban"/>
    <x v="3"/>
    <x v="11"/>
    <x v="48"/>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899.5"/>
    <n v="380.2"/>
    <n v="370"/>
    <n v="243.39999999999998"/>
    <n v="113.4"/>
    <n v="121.7"/>
    <n v="132.1"/>
  </r>
  <r>
    <s v="Rural+Urban"/>
    <x v="3"/>
    <x v="11"/>
    <x v="48"/>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901.8"/>
    <n v="400.1"/>
    <n v="382.7"/>
    <n v="249"/>
    <n v="115.7"/>
    <n v="124"/>
    <n v="132.80000000000001"/>
  </r>
  <r>
    <s v="Rural"/>
    <x v="3"/>
    <x v="12"/>
    <x v="49"/>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n v="1891.5"/>
    <n v="415.3"/>
    <n v="264.89999999999998"/>
    <n v="251.6"/>
    <n v="118.6"/>
    <n v="127.3"/>
    <n v="134.19999999999999"/>
  </r>
  <r>
    <s v="Urban"/>
    <x v="3"/>
    <x v="12"/>
    <x v="49"/>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874.8"/>
    <n v="381"/>
    <n v="371.3"/>
    <n v="242.2"/>
    <n v="113.7"/>
    <n v="121.8"/>
    <n v="132.30000000000001"/>
  </r>
  <r>
    <s v="Rural+Urban"/>
    <x v="3"/>
    <x v="12"/>
    <x v="49"/>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883.8"/>
    <n v="401.5"/>
    <n v="384.29999999999995"/>
    <n v="248"/>
    <n v="116"/>
    <n v="124.2"/>
    <n v="133.1"/>
  </r>
  <r>
    <s v="Rural"/>
    <x v="4"/>
    <x v="0"/>
    <x v="50"/>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n v="1880.4"/>
    <n v="416.5"/>
    <n v="265.29999999999995"/>
    <n v="252.2"/>
    <n v="119.1"/>
    <n v="127"/>
    <n v="134.6"/>
  </r>
  <r>
    <s v="Urban"/>
    <x v="4"/>
    <x v="0"/>
    <x v="50"/>
    <n v="132.19999999999999"/>
    <n v="138.9"/>
    <n v="132.6"/>
    <n v="133.1"/>
    <n v="114"/>
    <n v="129.6"/>
    <n v="118.7"/>
    <n v="155.1"/>
    <n v="117.3"/>
    <n v="144.9"/>
    <n v="123.2"/>
    <n v="141.6"/>
    <n v="132"/>
    <n v="145.6"/>
    <n v="130.19999999999999"/>
    <n v="122.3"/>
    <n v="129"/>
    <n v="129.6"/>
    <n v="118"/>
    <n v="125.1"/>
    <n v="122.6"/>
    <n v="115.2"/>
    <n v="122"/>
    <n v="132.4"/>
    <n v="120.9"/>
    <n v="122.1"/>
    <n v="127.8"/>
    <n v="1858.8"/>
    <n v="381.5"/>
    <n v="372.7"/>
    <n v="243.5"/>
    <n v="115.2"/>
    <n v="122"/>
    <n v="132.4"/>
  </r>
  <r>
    <s v="Rural+Urban"/>
    <x v="4"/>
    <x v="0"/>
    <x v="5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871.0999999999995"/>
    <n v="402.4"/>
    <n v="385.79999999999995"/>
    <n v="248.8"/>
    <n v="117"/>
    <n v="124.2"/>
    <n v="133.30000000000001"/>
  </r>
  <r>
    <s v="Rural"/>
    <x v="4"/>
    <x v="1"/>
    <x v="51"/>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n v="1878.2000000000003"/>
    <n v="416.90000000000003"/>
    <n v="266.79999999999995"/>
    <n v="253.3"/>
    <n v="119.5"/>
    <n v="127.7"/>
    <n v="134.9"/>
  </r>
  <r>
    <s v="Urban"/>
    <x v="4"/>
    <x v="1"/>
    <x v="5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1851.6000000000001"/>
    <n v="382.3"/>
    <n v="375"/>
    <n v="244.60000000000002"/>
    <n v="115.5"/>
    <n v="122.2"/>
    <n v="132.4"/>
  </r>
  <r>
    <s v="Rural+Urban"/>
    <x v="4"/>
    <x v="1"/>
    <x v="5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1866.7000000000003"/>
    <n v="403"/>
    <n v="388.09999999999997"/>
    <n v="250"/>
    <n v="117.4"/>
    <n v="124.6"/>
    <n v="133.4"/>
  </r>
  <r>
    <s v="Rural"/>
    <x v="4"/>
    <x v="2"/>
    <x v="52"/>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n v="1872.7000000000003"/>
    <n v="418.59999999999997"/>
    <n v="268.29999999999995"/>
    <n v="253.89999999999998"/>
    <n v="119.8"/>
    <n v="128.30000000000001"/>
    <n v="135.19999999999999"/>
  </r>
  <r>
    <s v="Urban"/>
    <x v="4"/>
    <x v="2"/>
    <x v="5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1853.1999999999998"/>
    <n v="383.20000000000005"/>
    <n v="377.5"/>
    <n v="244.8"/>
    <n v="115.6"/>
    <n v="122.4"/>
    <n v="132.80000000000001"/>
  </r>
  <r>
    <s v="Rural+Urban"/>
    <x v="4"/>
    <x v="2"/>
    <x v="52"/>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1864"/>
    <n v="404.29999999999995"/>
    <n v="390.29999999999995"/>
    <n v="250.39999999999998"/>
    <n v="117.6"/>
    <n v="125"/>
    <n v="133.80000000000001"/>
  </r>
  <r>
    <s v="Rural"/>
    <x v="4"/>
    <x v="3"/>
    <x v="53"/>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n v="1870.7"/>
    <n v="420.80000000000007"/>
    <n v="269.3"/>
    <n v="254.7"/>
    <n v="119.2"/>
    <n v="128.30000000000001"/>
    <n v="135.69999999999999"/>
  </r>
  <r>
    <s v="Urban"/>
    <x v="4"/>
    <x v="3"/>
    <x v="5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1856.1"/>
    <n v="384.2"/>
    <n v="379.1"/>
    <n v="245.60000000000002"/>
    <n v="114.3"/>
    <n v="122.6"/>
    <n v="133.6"/>
  </r>
  <r>
    <s v="Rural+Urban"/>
    <x v="4"/>
    <x v="3"/>
    <x v="53"/>
    <n v="133"/>
    <n v="139.4"/>
    <n v="126.1"/>
    <n v="137.19999999999999"/>
    <n v="118.4"/>
    <n v="139.9"/>
    <n v="123.4"/>
    <n v="140.9"/>
    <n v="118.5"/>
    <n v="136.5"/>
    <n v="127.4"/>
    <n v="144.19999999999999"/>
    <n v="133.5"/>
    <n v="145.4"/>
    <n v="138"/>
    <n v="131.1"/>
    <n v="137"/>
    <n v="131.69999999999999"/>
    <n v="129.80000000000001"/>
    <n v="130.4"/>
    <n v="128.1"/>
    <n v="116.6"/>
    <n v="125.1"/>
    <n v="134.5"/>
    <n v="123.1"/>
    <n v="125.1"/>
    <n v="131.1"/>
    <n v="1863.8000000000002"/>
    <n v="406.1"/>
    <n v="391.9"/>
    <n v="251.2"/>
    <n v="116.6"/>
    <n v="125.1"/>
    <n v="134.5"/>
  </r>
  <r>
    <s v="Rural"/>
    <x v="4"/>
    <x v="4"/>
    <x v="54"/>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n v="1872.9999999999995"/>
    <n v="421.6"/>
    <n v="269.89999999999998"/>
    <n v="255.10000000000002"/>
    <n v="119.4"/>
    <n v="129.4"/>
    <n v="136.30000000000001"/>
  </r>
  <r>
    <s v="Urban"/>
    <x v="4"/>
    <x v="4"/>
    <x v="5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1857.8999999999999"/>
    <n v="384.9"/>
    <n v="378.7"/>
    <n v="245.6"/>
    <n v="114.3"/>
    <n v="122.8"/>
    <n v="133.80000000000001"/>
  </r>
  <r>
    <s v="Rural+Urban"/>
    <x v="4"/>
    <x v="4"/>
    <x v="5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1865.8000000000002"/>
    <n v="406.8"/>
    <n v="392.4"/>
    <n v="251.4"/>
    <n v="116.7"/>
    <n v="125.7"/>
    <n v="134.80000000000001"/>
  </r>
  <r>
    <s v="Rural"/>
    <x v="4"/>
    <x v="5"/>
    <x v="55"/>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n v="1884.6000000000001"/>
    <n v="423.09999999999997"/>
    <n v="270"/>
    <n v="255.4"/>
    <n v="119.4"/>
    <n v="129.80000000000001"/>
    <n v="136.9"/>
  </r>
  <r>
    <s v="Urban"/>
    <x v="4"/>
    <x v="5"/>
    <x v="5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1879.6000000000001"/>
    <n v="384.9"/>
    <n v="377.2"/>
    <n v="246.3"/>
    <n v="113.9"/>
    <n v="122.9"/>
    <n v="134.30000000000001"/>
  </r>
  <r>
    <s v="Rural+Urban"/>
    <x v="4"/>
    <x v="5"/>
    <x v="5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1881.2"/>
    <n v="407.7"/>
    <n v="391.40000000000003"/>
    <n v="251.9"/>
    <n v="116.5"/>
    <n v="125.9"/>
    <n v="135.4"/>
  </r>
  <r>
    <s v="Rural"/>
    <x v="4"/>
    <x v="6"/>
    <x v="56"/>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n v="1920.3000000000002"/>
    <n v="425.9"/>
    <n v="271.39999999999998"/>
    <n v="256.5"/>
    <n v="119.1"/>
    <n v="130.6"/>
    <n v="138.6"/>
  </r>
  <r>
    <s v="Urban"/>
    <x v="4"/>
    <x v="6"/>
    <x v="5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1918.6"/>
    <n v="385.70000000000005"/>
    <n v="379.5"/>
    <n v="247.4"/>
    <n v="113.2"/>
    <n v="123.5"/>
    <n v="135.5"/>
  </r>
  <r>
    <s v="Rural+Urban"/>
    <x v="4"/>
    <x v="6"/>
    <x v="5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1917.6"/>
    <n v="409.7"/>
    <n v="393.9"/>
    <n v="253"/>
    <n v="116"/>
    <n v="126.6"/>
    <n v="136.80000000000001"/>
  </r>
  <r>
    <s v="Rural"/>
    <x v="4"/>
    <x v="7"/>
    <x v="57"/>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n v="1941.4999999999998"/>
    <n v="429"/>
    <n v="273.70000000000005"/>
    <n v="258.39999999999998"/>
    <n v="120.3"/>
    <n v="131.5"/>
    <n v="140.19999999999999"/>
  </r>
  <r>
    <s v="Urban"/>
    <x v="4"/>
    <x v="7"/>
    <x v="5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1925.0999999999997"/>
    <n v="388.4"/>
    <n v="381"/>
    <n v="249"/>
    <n v="114.6"/>
    <n v="124.1"/>
    <n v="135.69999999999999"/>
  </r>
  <r>
    <s v="Rural+Urban"/>
    <x v="4"/>
    <x v="7"/>
    <x v="5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1933.6"/>
    <n v="412.6"/>
    <n v="397.00000000000006"/>
    <n v="254.7"/>
    <n v="117.3"/>
    <n v="127.3"/>
    <n v="137.6"/>
  </r>
  <r>
    <s v="Rural"/>
    <x v="4"/>
    <x v="8"/>
    <x v="58"/>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n v="1934.1"/>
    <n v="430.99999999999994"/>
    <n v="275.3"/>
    <n v="260.10000000000002"/>
    <n v="121.2"/>
    <n v="132.30000000000001"/>
    <n v="139.6"/>
  </r>
  <r>
    <s v="Urban"/>
    <x v="4"/>
    <x v="8"/>
    <x v="5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1903.3"/>
    <n v="389.9"/>
    <n v="384.4"/>
    <n v="250.5"/>
    <n v="115.7"/>
    <n v="124.5"/>
    <n v="135.9"/>
  </r>
  <r>
    <s v="Rural+Urban"/>
    <x v="4"/>
    <x v="8"/>
    <x v="5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1920.7999999999997"/>
    <n v="414.5"/>
    <n v="400"/>
    <n v="256.3"/>
    <n v="118.3"/>
    <n v="127.9"/>
    <n v="137.4"/>
  </r>
  <r>
    <s v="Rural"/>
    <x v="4"/>
    <x v="9"/>
    <x v="59"/>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n v="1941.3999999999999"/>
    <n v="433.99999999999994"/>
    <n v="276.5"/>
    <n v="261.60000000000002"/>
    <n v="121"/>
    <n v="133"/>
    <n v="140.1"/>
  </r>
  <r>
    <s v="Urban"/>
    <x v="4"/>
    <x v="9"/>
    <x v="5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920.2999999999997"/>
    <n v="391.5"/>
    <n v="388.2"/>
    <n v="251.2"/>
    <n v="115"/>
    <n v="124.8"/>
    <n v="136.30000000000001"/>
  </r>
  <r>
    <s v="Rural+Urban"/>
    <x v="4"/>
    <x v="9"/>
    <x v="5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931.2999999999997"/>
    <n v="416.90000000000003"/>
    <n v="403.1"/>
    <n v="257.5"/>
    <n v="117.8"/>
    <n v="128.4"/>
    <n v="137.9"/>
  </r>
  <r>
    <s v="Rural"/>
    <x v="4"/>
    <x v="11"/>
    <x v="60"/>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n v="1969.8000000000002"/>
    <n v="437"/>
    <n v="280.5"/>
    <n v="263.89999999999998"/>
    <n v="121.6"/>
    <n v="133.69999999999999"/>
    <n v="141.5"/>
  </r>
  <r>
    <s v="Urban"/>
    <x v="4"/>
    <x v="11"/>
    <x v="6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952.9"/>
    <n v="393.9"/>
    <n v="393.1"/>
    <n v="252.3"/>
    <n v="115.3"/>
    <n v="125.1"/>
    <n v="136.6"/>
  </r>
  <r>
    <s v="Rural+Urban"/>
    <x v="4"/>
    <x v="11"/>
    <x v="6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1961.4"/>
    <n v="419.6"/>
    <n v="408.29999999999995"/>
    <n v="259.39999999999998"/>
    <n v="118.3"/>
    <n v="128.9"/>
    <n v="138.6"/>
  </r>
  <r>
    <s v="Rural"/>
    <x v="4"/>
    <x v="12"/>
    <x v="61"/>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n v="1966.8000000000002"/>
    <n v="437.09999999999997"/>
    <n v="282.10000000000002"/>
    <n v="263.89999999999998"/>
    <n v="122"/>
    <n v="133.4"/>
    <n v="141.1"/>
  </r>
  <r>
    <s v="Urban"/>
    <x v="4"/>
    <x v="12"/>
    <x v="6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924.5"/>
    <n v="395.2"/>
    <n v="395.2"/>
    <n v="252.79999999999998"/>
    <n v="115.3"/>
    <n v="125.6"/>
    <n v="136.69999999999999"/>
  </r>
  <r>
    <s v="Rural+Urban"/>
    <x v="4"/>
    <x v="12"/>
    <x v="6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1949.1999999999998"/>
    <n v="420.2"/>
    <n v="410.4"/>
    <n v="259.60000000000002"/>
    <n v="118.5"/>
    <n v="129"/>
    <n v="138.5"/>
  </r>
  <r>
    <s v="Rural"/>
    <x v="5"/>
    <x v="0"/>
    <x v="62"/>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n v="1954.3"/>
    <n v="438.1"/>
    <n v="282.10000000000002"/>
    <n v="264.60000000000002"/>
    <n v="122.7"/>
    <n v="134.30000000000001"/>
    <n v="141.6"/>
  </r>
  <r>
    <s v="Urban"/>
    <x v="5"/>
    <x v="0"/>
    <x v="62"/>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906.0000000000002"/>
    <n v="396.29999999999995"/>
    <n v="397.2"/>
    <n v="254.5"/>
    <n v="116.3"/>
    <n v="126.2"/>
    <n v="137.1"/>
  </r>
  <r>
    <s v="Rural+Urban"/>
    <x v="5"/>
    <x v="0"/>
    <x v="62"/>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1934.6000000000001"/>
    <n v="421.3"/>
    <n v="411.9"/>
    <n v="260.60000000000002"/>
    <n v="119.3"/>
    <n v="129.69999999999999"/>
    <n v="139"/>
  </r>
  <r>
    <s v="Rural"/>
    <x v="5"/>
    <x v="1"/>
    <x v="63"/>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n v="1934.8"/>
    <n v="438.90000000000003"/>
    <n v="282.3"/>
    <n v="265"/>
    <n v="123.3"/>
    <n v="134.30000000000001"/>
    <n v="141.5"/>
  </r>
  <r>
    <s v="Urban"/>
    <x v="5"/>
    <x v="1"/>
    <x v="63"/>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1887.2"/>
    <n v="397.09999999999997"/>
    <n v="398.5"/>
    <n v="256"/>
    <n v="117.4"/>
    <n v="126.5"/>
    <n v="137.19999999999999"/>
  </r>
  <r>
    <s v="Rural+Urban"/>
    <x v="5"/>
    <x v="1"/>
    <x v="63"/>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1915.2999999999997"/>
    <n v="422"/>
    <n v="413.2"/>
    <n v="261.5"/>
    <n v="120.2"/>
    <n v="129.9"/>
    <n v="139"/>
  </r>
  <r>
    <s v="Rural"/>
    <x v="5"/>
    <x v="2"/>
    <x v="64"/>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n v="1937.0999999999997"/>
    <n v="440.5"/>
    <n v="282.5"/>
    <n v="266"/>
    <n v="124.6"/>
    <n v="135.1"/>
    <n v="142.69999999999999"/>
  </r>
  <r>
    <s v="Urban"/>
    <x v="5"/>
    <x v="2"/>
    <x v="64"/>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1875.2"/>
    <n v="398.59999999999997"/>
    <n v="399.2"/>
    <n v="257.2"/>
    <n v="117.8"/>
    <n v="126.8"/>
    <n v="137.80000000000001"/>
  </r>
  <r>
    <s v="Rural+Urban"/>
    <x v="5"/>
    <x v="2"/>
    <x v="64"/>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1912.3"/>
    <n v="423.6"/>
    <n v="414.1"/>
    <n v="262.5"/>
    <n v="121"/>
    <n v="130.4"/>
    <n v="139.80000000000001"/>
  </r>
  <r>
    <s v="Rural"/>
    <x v="5"/>
    <x v="3"/>
    <x v="65"/>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n v="1936.1"/>
    <n v="442.5"/>
    <n v="284.70000000000005"/>
    <n v="268"/>
    <n v="125.3"/>
    <n v="136"/>
    <n v="143.69999999999999"/>
  </r>
  <r>
    <s v="Urban"/>
    <x v="5"/>
    <x v="3"/>
    <x v="65"/>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1879.2000000000003"/>
    <n v="401.40000000000003"/>
    <n v="399.3"/>
    <n v="258.89999999999998"/>
    <n v="118.9"/>
    <n v="127.6"/>
    <n v="139.69999999999999"/>
  </r>
  <r>
    <s v="Rural+Urban"/>
    <x v="5"/>
    <x v="3"/>
    <x v="65"/>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1914.0000000000002"/>
    <n v="426"/>
    <n v="416"/>
    <n v="264.39999999999998"/>
    <n v="121.9"/>
    <n v="131.30000000000001"/>
    <n v="141.4"/>
  </r>
  <r>
    <s v="Rural"/>
    <x v="5"/>
    <x v="4"/>
    <x v="66"/>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n v="1939.4"/>
    <n v="444.7"/>
    <n v="286.10000000000002"/>
    <n v="269.60000000000002"/>
    <n v="126.4"/>
    <n v="136.80000000000001"/>
    <n v="144.4"/>
  </r>
  <r>
    <s v="Urban"/>
    <x v="5"/>
    <x v="4"/>
    <x v="66"/>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1883.1999999999998"/>
    <n v="403.5"/>
    <n v="400.4"/>
    <n v="260.10000000000002"/>
    <n v="119.8"/>
    <n v="128"/>
    <n v="140.4"/>
  </r>
  <r>
    <s v="Rural+Urban"/>
    <x v="5"/>
    <x v="4"/>
    <x v="66"/>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1917.7"/>
    <n v="428.09999999999997"/>
    <n v="417.5"/>
    <n v="265.89999999999998"/>
    <n v="122.9"/>
    <n v="131.80000000000001"/>
    <n v="142.1"/>
  </r>
  <r>
    <s v="Rural"/>
    <x v="5"/>
    <x v="5"/>
    <x v="67"/>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n v="1947.5999999999997"/>
    <n v="446.3"/>
    <n v="287.29999999999995"/>
    <n v="269.8"/>
    <n v="127.4"/>
    <n v="137.80000000000001"/>
    <n v="145.1"/>
  </r>
  <r>
    <s v="Urban"/>
    <x v="5"/>
    <x v="5"/>
    <x v="67"/>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1908.3000000000002"/>
    <n v="405"/>
    <n v="402.1"/>
    <n v="260.79999999999995"/>
    <n v="120.4"/>
    <n v="128.5"/>
    <n v="141.19999999999999"/>
  </r>
  <r>
    <s v="Rural+Urban"/>
    <x v="5"/>
    <x v="5"/>
    <x v="67"/>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1932.4"/>
    <n v="429.7"/>
    <n v="418.5"/>
    <n v="266.29999999999995"/>
    <n v="123.7"/>
    <n v="132.6"/>
    <n v="142.80000000000001"/>
  </r>
  <r>
    <s v="Rural"/>
    <x v="5"/>
    <x v="6"/>
    <x v="68"/>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n v="1966.6000000000001"/>
    <n v="447.20000000000005"/>
    <n v="289.89999999999998"/>
    <n v="270.39999999999998"/>
    <n v="127.5"/>
    <n v="138.4"/>
    <n v="145.80000000000001"/>
  </r>
  <r>
    <s v="Urban"/>
    <x v="5"/>
    <x v="6"/>
    <x v="68"/>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1932.5"/>
    <n v="406.4"/>
    <n v="405.29999999999995"/>
    <n v="261.79999999999995"/>
    <n v="120.1"/>
    <n v="129"/>
    <n v="144"/>
  </r>
  <r>
    <s v="Rural+Urban"/>
    <x v="5"/>
    <x v="6"/>
    <x v="68"/>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1952.8"/>
    <n v="430.80000000000007"/>
    <n v="421.9"/>
    <n v="267.10000000000002"/>
    <n v="123.6"/>
    <n v="133.1"/>
    <n v="144.69999999999999"/>
  </r>
  <r>
    <s v="Rural"/>
    <x v="5"/>
    <x v="7"/>
    <x v="69"/>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n v="1975.2"/>
    <n v="449.2"/>
    <n v="291.5"/>
    <n v="270.70000000000005"/>
    <n v="128.30000000000001"/>
    <n v="138.6"/>
    <n v="146.9"/>
  </r>
  <r>
    <s v="Urban"/>
    <x v="5"/>
    <x v="7"/>
    <x v="69"/>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1929.6999999999998"/>
    <n v="407.3"/>
    <n v="408.79999999999995"/>
    <n v="263.20000000000005"/>
    <n v="120.7"/>
    <n v="129.80000000000001"/>
    <n v="145.30000000000001"/>
  </r>
  <r>
    <s v="Rural+Urban"/>
    <x v="5"/>
    <x v="7"/>
    <x v="69"/>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1956.6000000000004"/>
    <n v="432.20000000000005"/>
    <n v="424.9"/>
    <n v="267.79999999999995"/>
    <n v="124.3"/>
    <n v="133.6"/>
    <n v="146"/>
  </r>
  <r>
    <s v="Rural"/>
    <x v="5"/>
    <x v="8"/>
    <x v="70"/>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n v="1957.5000000000002"/>
    <n v="449.5"/>
    <n v="293"/>
    <n v="272"/>
    <n v="129.9"/>
    <n v="140"/>
    <n v="147.6"/>
  </r>
  <r>
    <s v="Urban"/>
    <x v="5"/>
    <x v="8"/>
    <x v="70"/>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1911.7"/>
    <n v="409.20000000000005"/>
    <n v="411.4"/>
    <n v="265"/>
    <n v="122.5"/>
    <n v="130.19999999999999"/>
    <n v="145.19999999999999"/>
  </r>
  <r>
    <s v="Rural+Urban"/>
    <x v="5"/>
    <x v="8"/>
    <x v="70"/>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1938.7"/>
    <n v="433.29999999999995"/>
    <n v="427.3"/>
    <n v="269.3"/>
    <n v="126"/>
    <n v="134.5"/>
    <n v="146.19999999999999"/>
  </r>
  <r>
    <s v="Rural"/>
    <x v="5"/>
    <x v="9"/>
    <x v="71"/>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n v="1941.8"/>
    <n v="445"/>
    <n v="297.2"/>
    <n v="279.20000000000005"/>
    <n v="130.80000000000001"/>
    <n v="140.1"/>
    <n v="148"/>
  </r>
  <r>
    <s v="Urban"/>
    <x v="5"/>
    <x v="9"/>
    <x v="71"/>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918.1"/>
    <n v="411"/>
    <n v="414.80000000000007"/>
    <n v="266.60000000000002"/>
    <n v="123.3"/>
    <n v="130.69999999999999"/>
    <n v="145.5"/>
  </r>
  <r>
    <s v="Rural+Urban"/>
    <x v="5"/>
    <x v="9"/>
    <x v="71"/>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938.8"/>
    <n v="434"/>
    <n v="434.40000000000003"/>
    <n v="274.10000000000002"/>
    <n v="125.5"/>
    <n v="136.5"/>
    <n v="147.80000000000001"/>
  </r>
  <r>
    <s v="Rural"/>
    <x v="5"/>
    <x v="11"/>
    <x v="72"/>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n v="1949.3999999999996"/>
    <n v="448"/>
    <n v="298.3"/>
    <n v="278.5"/>
    <n v="130.30000000000001"/>
    <n v="143.1"/>
    <n v="150.19999999999999"/>
  </r>
  <r>
    <s v="Urban"/>
    <x v="5"/>
    <x v="11"/>
    <x v="72"/>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921.8999999999999"/>
    <n v="413.1"/>
    <n v="419.40000000000003"/>
    <n v="267.3"/>
    <n v="121.2"/>
    <n v="131.30000000000001"/>
    <n v="146.1"/>
  </r>
  <r>
    <s v="Rural+Urban"/>
    <x v="5"/>
    <x v="11"/>
    <x v="72"/>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938.3000000000002"/>
    <n v="433.8"/>
    <n v="434.2"/>
    <n v="274.10000000000002"/>
    <n v="125.5"/>
    <n v="136.5"/>
    <n v="147.80000000000001"/>
  </r>
  <r>
    <s v="Rural"/>
    <x v="5"/>
    <x v="12"/>
    <x v="73"/>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n v="1935.5000000000002"/>
    <n v="448.3"/>
    <n v="298.5"/>
    <n v="282.79999999999995"/>
    <n v="128.9"/>
    <n v="143.30000000000001"/>
    <n v="155.1"/>
  </r>
  <r>
    <s v="Urban"/>
    <x v="5"/>
    <x v="12"/>
    <x v="73"/>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911.1999999999998"/>
    <n v="413.8"/>
    <n v="415.09999999999997"/>
    <n v="268.10000000000002"/>
    <n v="118.8"/>
    <n v="131.69999999999999"/>
    <n v="146.5"/>
  </r>
  <r>
    <s v="Rural+Urban"/>
    <x v="5"/>
    <x v="12"/>
    <x v="73"/>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925.7999999999997"/>
    <n v="434.3"/>
    <n v="432.4"/>
    <n v="277.10000000000002"/>
    <n v="123.6"/>
    <n v="136.80000000000001"/>
    <n v="150.1"/>
  </r>
  <r>
    <s v="Rural"/>
    <x v="6"/>
    <x v="0"/>
    <x v="74"/>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n v="1922.3000000000002"/>
    <n v="445.6"/>
    <n v="296.29999999999995"/>
    <n v="283.10000000000002"/>
    <n v="128.6"/>
    <n v="142.9"/>
    <n v="155.19999999999999"/>
  </r>
  <r>
    <s v="Urban"/>
    <x v="6"/>
    <x v="0"/>
    <x v="74"/>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909.0000000000002"/>
    <n v="414.5"/>
    <n v="412.59999999999997"/>
    <n v="269.5"/>
    <n v="118.6"/>
    <n v="131.9"/>
    <n v="146.6"/>
  </r>
  <r>
    <s v="Rural+Urban"/>
    <x v="6"/>
    <x v="0"/>
    <x v="74"/>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916.6"/>
    <n v="433"/>
    <n v="430.79999999999995"/>
    <n v="277.89999999999998"/>
    <n v="123.3"/>
    <n v="136.69999999999999"/>
    <n v="150.19999999999999"/>
  </r>
  <r>
    <s v="Rural"/>
    <x v="6"/>
    <x v="1"/>
    <x v="75"/>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n v="1922.6000000000001"/>
    <n v="446.5"/>
    <n v="295.39999999999998"/>
    <n v="284.8"/>
    <n v="129.19999999999999"/>
    <n v="143.4"/>
    <n v="155.5"/>
  </r>
  <r>
    <s v="Urban"/>
    <x v="6"/>
    <x v="1"/>
    <x v="75"/>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1919.3000000000002"/>
    <n v="415.5"/>
    <n v="412.20000000000005"/>
    <n v="271.5"/>
    <n v="119.2"/>
    <n v="132.19999999999999"/>
    <n v="146.6"/>
  </r>
  <r>
    <s v="Rural+Urban"/>
    <x v="6"/>
    <x v="1"/>
    <x v="75"/>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1920.5"/>
    <n v="433.9"/>
    <n v="430.59999999999997"/>
    <n v="279.7"/>
    <n v="123.9"/>
    <n v="137.1"/>
    <n v="150.30000000000001"/>
  </r>
  <r>
    <s v="Rural"/>
    <x v="6"/>
    <x v="2"/>
    <x v="76"/>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n v="1924.1000000000004"/>
    <n v="447"/>
    <n v="296.39999999999998"/>
    <n v="284.39999999999998"/>
    <n v="129.9"/>
    <n v="143.80000000000001"/>
    <n v="155.5"/>
  </r>
  <r>
    <s v="Urban"/>
    <x v="6"/>
    <x v="2"/>
    <x v="76"/>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1933.7"/>
    <n v="416.29999999999995"/>
    <n v="414.6"/>
    <n v="271.7"/>
    <n v="119.9"/>
    <n v="133"/>
    <n v="146.69999999999999"/>
  </r>
  <r>
    <s v="Rural+Urban"/>
    <x v="6"/>
    <x v="2"/>
    <x v="76"/>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1926.4"/>
    <n v="434.5"/>
    <n v="432.5"/>
    <n v="279.60000000000002"/>
    <n v="124.6"/>
    <n v="137.69999999999999"/>
    <n v="150.30000000000001"/>
  </r>
  <r>
    <s v="Rural"/>
    <x v="6"/>
    <x v="4"/>
    <x v="77"/>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n v="1945.4"/>
    <n v="448.59999999999997"/>
    <n v="296.39999999999998"/>
    <n v="285.20000000000005"/>
    <n v="130.19999999999999"/>
    <n v="145.9"/>
    <n v="156.69999999999999"/>
  </r>
  <r>
    <s v="Urban"/>
    <x v="6"/>
    <x v="4"/>
    <x v="77"/>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1977.7000000000003"/>
    <n v="417.9"/>
    <n v="416.7"/>
    <n v="272.39999999999998"/>
    <n v="120.1"/>
    <n v="134"/>
    <n v="148"/>
  </r>
  <r>
    <s v="Rural+Urban"/>
    <x v="6"/>
    <x v="4"/>
    <x v="77"/>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1956.0000000000002"/>
    <n v="436.1"/>
    <n v="434.09999999999997"/>
    <n v="280.3"/>
    <n v="124.9"/>
    <n v="139.19999999999999"/>
    <n v="151.6"/>
  </r>
  <r>
    <s v="Rural"/>
    <x v="6"/>
    <x v="5"/>
    <x v="78"/>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n v="1968.3999999999999"/>
    <n v="448.59999999999997"/>
    <n v="297.39999999999998"/>
    <n v="286.5"/>
    <n v="130.19999999999999"/>
    <n v="146.4"/>
    <n v="157.69999999999999"/>
  </r>
  <r>
    <s v="Urban"/>
    <x v="6"/>
    <x v="5"/>
    <x v="78"/>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1999.9999999999998"/>
    <n v="418.4"/>
    <n v="417.29999999999995"/>
    <n v="274"/>
    <n v="119.6"/>
    <n v="134.30000000000001"/>
    <n v="148.9"/>
  </r>
  <r>
    <s v="Rural+Urban"/>
    <x v="6"/>
    <x v="5"/>
    <x v="78"/>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1979.0000000000002"/>
    <n v="436.4"/>
    <n v="434.40000000000003"/>
    <n v="281.70000000000005"/>
    <n v="124.6"/>
    <n v="139.6"/>
    <n v="152.5"/>
  </r>
  <r>
    <s v="Rural"/>
    <x v="6"/>
    <x v="6"/>
    <x v="79"/>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n v="1991.3999999999999"/>
    <n v="449.1"/>
    <n v="296.8"/>
    <n v="288.29999999999995"/>
    <n v="131.19999999999999"/>
    <n v="147.5"/>
    <n v="159.1"/>
  </r>
  <r>
    <s v="Urban"/>
    <x v="6"/>
    <x v="6"/>
    <x v="79"/>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2024.6"/>
    <n v="419.3"/>
    <n v="415.3"/>
    <n v="275.89999999999998"/>
    <n v="120.6"/>
    <n v="135"/>
    <n v="150.4"/>
  </r>
  <r>
    <s v="Rural+Urban"/>
    <x v="6"/>
    <x v="6"/>
    <x v="79"/>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2002.7"/>
    <n v="437"/>
    <n v="434.09999999999997"/>
    <n v="283.60000000000002"/>
    <n v="125.6"/>
    <n v="140.5"/>
    <n v="154"/>
  </r>
  <r>
    <s v="Rural"/>
    <x v="6"/>
    <x v="7"/>
    <x v="80"/>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n v="1999.6000000000001"/>
    <n v="449.5"/>
    <n v="296.60000000000002"/>
    <n v="291.5"/>
    <n v="131.4"/>
    <n v="148"/>
    <n v="159.69999999999999"/>
  </r>
  <r>
    <s v="Urban"/>
    <x v="6"/>
    <x v="7"/>
    <x v="80"/>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2037"/>
    <n v="420.2"/>
    <n v="415.20000000000005"/>
    <n v="279.3"/>
    <n v="120.8"/>
    <n v="135.4"/>
    <n v="151.5"/>
  </r>
  <r>
    <s v="Rural+Urban"/>
    <x v="6"/>
    <x v="7"/>
    <x v="80"/>
    <n v="140.1"/>
    <n v="160.6"/>
    <n v="138.5"/>
    <n v="144.69999999999999"/>
    <n v="122.9"/>
    <n v="149.4"/>
    <n v="167.4"/>
    <n v="130.9"/>
    <n v="112"/>
    <n v="142.6"/>
    <n v="134.9"/>
    <n v="156.6"/>
    <n v="145.9"/>
    <n v="165.8"/>
    <n v="149.1"/>
    <n v="140.6"/>
    <n v="147.9"/>
    <n v="151.6"/>
    <n v="138.5"/>
    <n v="144.5"/>
    <n v="148.5"/>
    <n v="125.8"/>
    <n v="140.9"/>
    <n v="154.9"/>
    <n v="138.4"/>
    <n v="140.19999999999999"/>
    <n v="145"/>
    <n v="2012.3"/>
    <n v="437.6"/>
    <n v="434.6"/>
    <n v="286.89999999999998"/>
    <n v="125.8"/>
    <n v="140.9"/>
    <n v="154.9"/>
  </r>
  <r>
    <s v="Rural"/>
    <x v="6"/>
    <x v="8"/>
    <x v="81"/>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n v="2014.4"/>
    <n v="449.29999999999995"/>
    <n v="297.20000000000005"/>
    <n v="293.60000000000002"/>
    <n v="131.6"/>
    <n v="148.30000000000001"/>
    <n v="160.19999999999999"/>
  </r>
  <r>
    <s v="Urban"/>
    <x v="6"/>
    <x v="8"/>
    <x v="81"/>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2043.5"/>
    <n v="420.8"/>
    <n v="417.09999999999997"/>
    <n v="280.89999999999998"/>
    <n v="121.2"/>
    <n v="135.9"/>
    <n v="151.6"/>
  </r>
  <r>
    <s v="Rural+Urban"/>
    <x v="6"/>
    <x v="8"/>
    <x v="81"/>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2024.1999999999998"/>
    <n v="437.69999999999993"/>
    <n v="436"/>
    <n v="288.7"/>
    <n v="126.1"/>
    <n v="141.30000000000001"/>
    <n v="155.19999999999999"/>
  </r>
  <r>
    <s v="Rural"/>
    <x v="6"/>
    <x v="9"/>
    <x v="82"/>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n v="2043.1999999999996"/>
    <n v="449.4"/>
    <n v="298.29999999999995"/>
    <n v="294"/>
    <n v="131.69999999999999"/>
    <n v="148.69999999999999"/>
    <n v="160.69999999999999"/>
  </r>
  <r>
    <s v="Urban"/>
    <x v="6"/>
    <x v="9"/>
    <x v="82"/>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2071.9"/>
    <n v="422.20000000000005"/>
    <n v="420.59999999999997"/>
    <n v="281.89999999999998"/>
    <n v="121.5"/>
    <n v="136.19999999999999"/>
    <n v="151.69999999999999"/>
  </r>
  <r>
    <s v="Rural+Urban"/>
    <x v="6"/>
    <x v="9"/>
    <x v="82"/>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2052.6999999999998"/>
    <n v="438.40000000000003"/>
    <n v="438.6"/>
    <n v="289.39999999999998"/>
    <n v="126.3"/>
    <n v="141.69999999999999"/>
    <n v="155.4"/>
  </r>
  <r>
    <s v="Rural"/>
    <x v="6"/>
    <x v="11"/>
    <x v="83"/>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n v="2071.8000000000002"/>
    <n v="450.8"/>
    <n v="299.3"/>
    <n v="294.89999999999998"/>
    <n v="132.1"/>
    <n v="149.1"/>
    <n v="160.80000000000001"/>
  </r>
  <r>
    <s v="Urban"/>
    <x v="6"/>
    <x v="11"/>
    <x v="83"/>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2093.8999999999996"/>
    <n v="423.09999999999997"/>
    <n v="424.79999999999995"/>
    <n v="282.60000000000002"/>
    <n v="121.7"/>
    <n v="136.69999999999999"/>
    <n v="151.80000000000001"/>
  </r>
  <r>
    <s v="Rural+Urban"/>
    <x v="6"/>
    <x v="11"/>
    <x v="83"/>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2078.8000000000002"/>
    <n v="439.5"/>
    <n v="441.1"/>
    <n v="290.20000000000005"/>
    <n v="126.6"/>
    <n v="142.1"/>
    <n v="155.5"/>
  </r>
  <r>
    <s v="Rural"/>
    <x v="6"/>
    <x v="12"/>
    <x v="84"/>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n v="2108.7999999999997"/>
    <n v="451.79999999999995"/>
    <n v="301.10000000000002"/>
    <n v="295.39999999999998"/>
    <n v="135"/>
    <n v="149.5"/>
    <n v="161.1"/>
  </r>
  <r>
    <s v="Urban"/>
    <x v="6"/>
    <x v="12"/>
    <x v="84"/>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2127.1"/>
    <n v="424.20000000000005"/>
    <n v="426.2"/>
    <n v="283.39999999999998"/>
    <n v="125.2"/>
    <n v="136.80000000000001"/>
    <n v="151.9"/>
  </r>
  <r>
    <s v="Rural+Urban"/>
    <x v="6"/>
    <x v="12"/>
    <x v="84"/>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2114.6000000000004"/>
    <n v="440.6"/>
    <n v="442.3"/>
    <n v="290.8"/>
    <n v="129.80000000000001"/>
    <n v="142.30000000000001"/>
    <n v="155.69999999999999"/>
  </r>
  <r>
    <s v="Rural"/>
    <x v="7"/>
    <x v="0"/>
    <x v="85"/>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n v="2107.1999999999998"/>
    <n v="452.30000000000007"/>
    <n v="302.10000000000002"/>
    <n v="298.2"/>
    <n v="136.30000000000001"/>
    <n v="150.1"/>
    <n v="161.69999999999999"/>
  </r>
  <r>
    <s v="Urban"/>
    <x v="7"/>
    <x v="0"/>
    <x v="85"/>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2116.1999999999998"/>
    <n v="425.1"/>
    <n v="429.1"/>
    <n v="285.89999999999998"/>
    <n v="126.1"/>
    <n v="137.19999999999999"/>
    <n v="152.1"/>
  </r>
  <r>
    <s v="Rural+Urban"/>
    <x v="7"/>
    <x v="0"/>
    <x v="85"/>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2109.6"/>
    <n v="441.2"/>
    <n v="444.7"/>
    <n v="293.5"/>
    <n v="130.9"/>
    <n v="142.80000000000001"/>
    <n v="156.1"/>
  </r>
  <r>
    <s v="Rural"/>
    <x v="7"/>
    <x v="1"/>
    <x v="86"/>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n v="2079.1999999999998"/>
    <n v="452.8"/>
    <n v="304.10000000000002"/>
    <n v="299.60000000000002"/>
    <n v="136"/>
    <n v="150.4"/>
    <n v="161.9"/>
  </r>
  <r>
    <s v="Urban"/>
    <x v="7"/>
    <x v="1"/>
    <x v="86"/>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2088.6"/>
    <n v="426"/>
    <n v="434.1"/>
    <n v="287.89999999999998"/>
    <n v="125.2"/>
    <n v="137.69999999999999"/>
    <n v="152.19999999999999"/>
  </r>
  <r>
    <s v="Rural+Urban"/>
    <x v="7"/>
    <x v="1"/>
    <x v="86"/>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2081.6999999999998"/>
    <n v="442"/>
    <n v="448.4"/>
    <n v="295.10000000000002"/>
    <n v="130.30000000000001"/>
    <n v="143.19999999999999"/>
    <n v="156.19999999999999"/>
  </r>
  <r>
    <s v="Rural"/>
    <x v="7"/>
    <x v="2"/>
    <x v="87"/>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n v="2065.0999999999995"/>
    <n v="453.5"/>
    <n v="304.89999999999998"/>
    <n v="301.79999999999995"/>
    <n v="135.80000000000001"/>
    <n v="151.19999999999999"/>
    <n v="161.19999999999999"/>
  </r>
  <r>
    <s v="Urban"/>
    <x v="7"/>
    <x v="2"/>
    <x v="87"/>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2071.8000000000002"/>
    <n v="427.1"/>
    <n v="436.7"/>
    <n v="290.3"/>
    <n v="124.6"/>
    <n v="137.9"/>
    <n v="152.5"/>
  </r>
  <r>
    <s v="Rural+Urban"/>
    <x v="7"/>
    <x v="2"/>
    <x v="87"/>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2066.6"/>
    <n v="442.90000000000003"/>
    <n v="449.79999999999995"/>
    <n v="297.5"/>
    <n v="129.9"/>
    <n v="143.69999999999999"/>
    <n v="156.1"/>
  </r>
  <r>
    <s v="Rural"/>
    <x v="7"/>
    <x v="3"/>
    <x v="88"/>
    <n v="147.19999999999999"/>
    <s v="NA"/>
    <n v="146.9"/>
    <n v="155.6"/>
    <n v="137.1"/>
    <n v="147.30000000000001"/>
    <n v="162.69999999999999"/>
    <n v="150.19999999999999"/>
    <n v="119.8"/>
    <n v="158.69999999999999"/>
    <n v="139.19999999999999"/>
    <s v="NA"/>
    <n v="150.1"/>
    <s v="NA"/>
    <s v="NA"/>
    <s v="NA"/>
    <s v="NA"/>
    <s v="NA"/>
    <n v="148.4"/>
    <s v="NA"/>
    <n v="154.30000000000001"/>
    <s v="NA"/>
    <s v="NA"/>
    <s v="NA"/>
    <s v="NA"/>
    <s v="NA"/>
    <s v="NA"/>
    <n v="1614.8000000000002"/>
    <n v="0"/>
    <n v="148.4"/>
    <n v="154.30000000000001"/>
    <n v="0"/>
    <n v="0"/>
    <n v="0"/>
  </r>
  <r>
    <s v="Urban"/>
    <x v="7"/>
    <x v="3"/>
    <x v="88"/>
    <n v="151.80000000000001"/>
    <s v="NA"/>
    <n v="151.9"/>
    <n v="155.5"/>
    <n v="131.6"/>
    <n v="152.9"/>
    <n v="180"/>
    <n v="150.80000000000001"/>
    <n v="121.2"/>
    <n v="154"/>
    <n v="133.5"/>
    <s v="NA"/>
    <n v="153.5"/>
    <s v="NA"/>
    <s v="NA"/>
    <s v="NA"/>
    <s v="NA"/>
    <n v="155.6"/>
    <n v="137.1"/>
    <s v="NA"/>
    <n v="144.80000000000001"/>
    <s v="NA"/>
    <s v="NA"/>
    <s v="NA"/>
    <s v="NA"/>
    <s v="NA"/>
    <s v="NA"/>
    <n v="1636.7"/>
    <n v="0"/>
    <n v="292.7"/>
    <n v="144.80000000000001"/>
    <n v="0"/>
    <n v="0"/>
    <n v="0"/>
  </r>
  <r>
    <s v="Rural+Urban"/>
    <x v="7"/>
    <x v="3"/>
    <x v="88"/>
    <n v="148.69999999999999"/>
    <s v="NA"/>
    <n v="148.80000000000001"/>
    <n v="155.6"/>
    <n v="135.1"/>
    <n v="149.9"/>
    <n v="168.6"/>
    <n v="150.4"/>
    <n v="120.3"/>
    <n v="157.1"/>
    <n v="136.80000000000001"/>
    <s v="NA"/>
    <n v="151.4"/>
    <s v="NA"/>
    <s v="NA"/>
    <s v="NA"/>
    <s v="NA"/>
    <n v="155.6"/>
    <n v="144.1"/>
    <s v="NA"/>
    <n v="150.69999999999999"/>
    <s v="NA"/>
    <s v="NA"/>
    <s v="NA"/>
    <s v="NA"/>
    <s v="NA"/>
    <s v="NA"/>
    <n v="1622.7"/>
    <n v="0"/>
    <n v="299.7"/>
    <n v="150.69999999999999"/>
    <n v="0"/>
    <n v="0"/>
    <n v="0"/>
  </r>
  <r>
    <s v="Rural"/>
    <x v="7"/>
    <x v="4"/>
    <x v="89"/>
    <s v="NA"/>
    <s v="NA"/>
    <s v="NA"/>
    <s v="NA"/>
    <s v="NA"/>
    <s v="NA"/>
    <s v="NA"/>
    <s v="NA"/>
    <s v="NA"/>
    <s v="NA"/>
    <s v="NA"/>
    <s v="NA"/>
    <s v="NA"/>
    <s v="NA"/>
    <s v="NA"/>
    <s v="NA"/>
    <s v="NA"/>
    <s v="NA"/>
    <s v="NA"/>
    <s v="NA"/>
    <s v="NA"/>
    <s v="NA"/>
    <s v="NA"/>
    <s v="NA"/>
    <s v="NA"/>
    <s v="NA"/>
    <s v="NA"/>
    <n v="0"/>
    <n v="0"/>
    <n v="0"/>
    <n v="0"/>
    <n v="0"/>
    <n v="0"/>
    <n v="0"/>
  </r>
  <r>
    <s v="Urban"/>
    <x v="7"/>
    <x v="4"/>
    <x v="89"/>
    <s v="NA"/>
    <s v="NA"/>
    <s v="NA"/>
    <s v="NA"/>
    <s v="NA"/>
    <s v="NA"/>
    <s v="NA"/>
    <s v="NA"/>
    <s v="NA"/>
    <s v="NA"/>
    <s v="NA"/>
    <s v="NA"/>
    <s v="NA"/>
    <s v="NA"/>
    <s v="NA"/>
    <s v="NA"/>
    <s v="NA"/>
    <s v="NA"/>
    <s v="NA"/>
    <s v="NA"/>
    <s v="NA"/>
    <s v="NA"/>
    <s v="NA"/>
    <s v="NA"/>
    <s v="NA"/>
    <s v="NA"/>
    <s v="NA"/>
    <n v="0"/>
    <n v="0"/>
    <n v="0"/>
    <n v="0"/>
    <n v="0"/>
    <n v="0"/>
    <n v="0"/>
  </r>
  <r>
    <s v="Rural+Urban"/>
    <x v="7"/>
    <x v="4"/>
    <x v="89"/>
    <s v="NA"/>
    <s v="NA"/>
    <s v="NA"/>
    <s v="NA"/>
    <s v="NA"/>
    <s v="NA"/>
    <s v="NA"/>
    <s v="NA"/>
    <s v="NA"/>
    <s v="NA"/>
    <s v="NA"/>
    <s v="NA"/>
    <s v="NA"/>
    <s v="NA"/>
    <s v="NA"/>
    <s v="NA"/>
    <s v="NA"/>
    <s v="NA"/>
    <s v="NA"/>
    <s v="NA"/>
    <s v="NA"/>
    <s v="NA"/>
    <s v="NA"/>
    <s v="NA"/>
    <s v="NA"/>
    <s v="NA"/>
    <s v="NA"/>
    <n v="0"/>
    <n v="0"/>
    <n v="0"/>
    <n v="0"/>
    <n v="0"/>
    <n v="0"/>
    <n v="0"/>
  </r>
  <r>
    <s v="Rural"/>
    <x v="7"/>
    <x v="5"/>
    <x v="90"/>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2133.4"/>
    <n v="458.79999999999995"/>
    <n v="296.60000000000002"/>
    <n v="309.39999999999998"/>
    <n v="141.4"/>
    <n v="153.19999999999999"/>
    <n v="161.80000000000001"/>
  </r>
  <r>
    <s v="Urban"/>
    <x v="7"/>
    <x v="5"/>
    <x v="90"/>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2181.6999999999998"/>
    <n v="432.9"/>
    <n v="432.19999999999993"/>
    <n v="300.29999999999995"/>
    <n v="129.30000000000001"/>
    <n v="144.5"/>
    <n v="152.5"/>
  </r>
  <r>
    <s v="Rural+Urban"/>
    <x v="7"/>
    <x v="5"/>
    <x v="9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2150.3000000000002"/>
    <n v="448.29999999999995"/>
    <n v="443"/>
    <n v="306"/>
    <n v="135"/>
    <n v="148.30000000000001"/>
    <n v="156.4"/>
  </r>
  <r>
    <s v="Rural"/>
    <x v="7"/>
    <x v="6"/>
    <x v="91"/>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2133.4"/>
    <n v="458.79999999999995"/>
    <n v="296.60000000000002"/>
    <n v="309.39999999999998"/>
    <n v="141.4"/>
    <n v="153.19999999999999"/>
    <n v="161.80000000000001"/>
  </r>
  <r>
    <s v="Urban"/>
    <x v="7"/>
    <x v="6"/>
    <x v="91"/>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2181.6999999999998"/>
    <n v="432.9"/>
    <n v="432.19999999999993"/>
    <n v="300.29999999999995"/>
    <n v="129.30000000000001"/>
    <n v="144.5"/>
    <n v="152.5"/>
  </r>
  <r>
    <s v="Rural+Urban"/>
    <x v="7"/>
    <x v="6"/>
    <x v="91"/>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2150.3000000000002"/>
    <n v="448.29999999999995"/>
    <n v="443"/>
    <n v="306"/>
    <n v="135"/>
    <n v="148.30000000000001"/>
    <n v="156.4"/>
  </r>
  <r>
    <s v="Rural"/>
    <x v="7"/>
    <x v="7"/>
    <x v="92"/>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n v="2159.5"/>
    <n v="458.7"/>
    <n v="297.70000000000005"/>
    <n v="312.39999999999998"/>
    <n v="143.6"/>
    <n v="152.19999999999999"/>
    <n v="162.69999999999999"/>
  </r>
  <r>
    <s v="Urban"/>
    <x v="7"/>
    <x v="7"/>
    <x v="92"/>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2212.1"/>
    <n v="433"/>
    <n v="438.3"/>
    <n v="303.89999999999998"/>
    <n v="133.9"/>
    <n v="141.19999999999999"/>
    <n v="155.5"/>
  </r>
  <r>
    <s v="Rural+Urban"/>
    <x v="7"/>
    <x v="7"/>
    <x v="92"/>
    <n v="148.9"/>
    <n v="190.9"/>
    <n v="150.80000000000001"/>
    <n v="153.30000000000001"/>
    <n v="137.4"/>
    <n v="150.4"/>
    <n v="178.1"/>
    <n v="150.4"/>
    <n v="115.1"/>
    <n v="160"/>
    <n v="140.6"/>
    <n v="162.30000000000001"/>
    <n v="157"/>
    <n v="182.6"/>
    <n v="153.1"/>
    <n v="143.4"/>
    <n v="151.69999999999999"/>
    <n v="155.5"/>
    <n v="143"/>
    <n v="148.4"/>
    <n v="155"/>
    <n v="138.5"/>
    <n v="146"/>
    <n v="158.5"/>
    <n v="154.30000000000001"/>
    <n v="149"/>
    <n v="153.9"/>
    <n v="2177.7999999999997"/>
    <n v="448.2"/>
    <n v="446.9"/>
    <n v="309.3"/>
    <n v="138.5"/>
    <n v="146"/>
    <n v="158.5"/>
  </r>
  <r>
    <s v="Rural"/>
    <x v="7"/>
    <x v="8"/>
    <x v="93"/>
    <n v="146.9"/>
    <n v="183.9"/>
    <n v="149.5"/>
    <n v="153.4"/>
    <n v="140.4"/>
    <n v="147"/>
    <n v="178.8"/>
    <n v="149.30000000000001"/>
    <n v="115.1"/>
    <n v="160"/>
    <n v="145.4"/>
    <n v="161.6"/>
    <n v="156.1"/>
    <n v="182.9"/>
    <n v="155.4"/>
    <n v="149.9"/>
    <n v="154.6"/>
    <s v="NA"/>
    <n v="146.4"/>
    <n v="151.6"/>
    <n v="159.1"/>
    <n v="144.6"/>
    <n v="152.80000000000001"/>
    <n v="161.1"/>
    <n v="157.4"/>
    <n v="153.69999999999999"/>
    <n v="155.4"/>
    <n v="2170.2999999999997"/>
    <n v="459.9"/>
    <n v="298"/>
    <n v="316.5"/>
    <n v="144.6"/>
    <n v="152.80000000000001"/>
    <n v="161.1"/>
  </r>
  <r>
    <s v="Urban"/>
    <x v="7"/>
    <x v="8"/>
    <x v="93"/>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2230.3000000000002"/>
    <n v="434.6"/>
    <n v="438.9"/>
    <n v="309.8"/>
    <n v="135.1"/>
    <n v="141.80000000000001"/>
    <n v="154.9"/>
  </r>
  <r>
    <s v="Rural+Urban"/>
    <x v="7"/>
    <x v="8"/>
    <x v="93"/>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2191.4"/>
    <n v="449.70000000000005"/>
    <n v="447.90000000000003"/>
    <n v="314"/>
    <n v="139.6"/>
    <n v="146.6"/>
    <n v="157.5"/>
  </r>
  <r>
    <s v="Rural"/>
    <x v="7"/>
    <x v="9"/>
    <x v="94"/>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n v="2213.6"/>
    <n v="461.29999999999995"/>
    <n v="298.8"/>
    <n v="315.7"/>
    <n v="146.4"/>
    <n v="152.4"/>
    <n v="162.5"/>
  </r>
  <r>
    <s v="Urban"/>
    <x v="7"/>
    <x v="9"/>
    <x v="94"/>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2268.8999999999996"/>
    <n v="434.90000000000003"/>
    <n v="438.70000000000005"/>
    <n v="309.10000000000002"/>
    <n v="135.4"/>
    <n v="142"/>
    <n v="155.69999999999999"/>
  </r>
  <r>
    <s v="Rural+Urban"/>
    <x v="7"/>
    <x v="9"/>
    <x v="94"/>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2232.9000000000005"/>
    <n v="450.59999999999997"/>
    <n v="448.3"/>
    <n v="313.3"/>
    <n v="140.6"/>
    <n v="146.5"/>
    <n v="158.5"/>
  </r>
  <r>
    <s v="Rural"/>
    <x v="7"/>
    <x v="11"/>
    <x v="95"/>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n v="2265.8000000000002"/>
    <n v="462.8"/>
    <n v="300.3"/>
    <n v="316.60000000000002"/>
    <n v="146.1"/>
    <n v="153.6"/>
    <n v="161.6"/>
  </r>
  <r>
    <s v="Urban"/>
    <x v="7"/>
    <x v="11"/>
    <x v="95"/>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2309.5"/>
    <n v="436.3"/>
    <n v="440.4"/>
    <n v="309.89999999999998"/>
    <n v="135.19999999999999"/>
    <n v="144.4"/>
    <n v="156.4"/>
  </r>
  <r>
    <s v="Rural+Urban"/>
    <x v="7"/>
    <x v="11"/>
    <x v="95"/>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2280.4"/>
    <n v="452.00000000000006"/>
    <n v="450.8"/>
    <n v="314.10000000000002"/>
    <n v="140.4"/>
    <n v="148.4"/>
    <n v="158.6"/>
  </r>
  <r>
    <s v="Rural"/>
    <x v="7"/>
    <x v="12"/>
    <x v="96"/>
    <n v="144.6"/>
    <n v="188.5"/>
    <n v="173.4"/>
    <n v="154"/>
    <n v="150"/>
    <n v="145.9"/>
    <n v="225.2"/>
    <n v="159.5"/>
    <n v="114.4"/>
    <n v="163.5"/>
    <n v="153.4"/>
    <n v="163.6"/>
    <n v="164.5"/>
    <n v="183.6"/>
    <n v="157"/>
    <n v="151.6"/>
    <n v="156.30000000000001"/>
    <s v="NA"/>
    <n v="148.69999999999999"/>
    <n v="153.4"/>
    <n v="161.6"/>
    <n v="146.4"/>
    <n v="153.9"/>
    <n v="162.9"/>
    <n v="156.6"/>
    <n v="155.19999999999999"/>
    <n v="160.69999999999999"/>
    <n v="2284.1"/>
    <n v="464.90000000000003"/>
    <n v="302.10000000000002"/>
    <n v="318.2"/>
    <n v="146.4"/>
    <n v="153.9"/>
    <n v="162.9"/>
  </r>
  <r>
    <s v="Urban"/>
    <x v="7"/>
    <x v="12"/>
    <x v="96"/>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2315.6"/>
    <n v="438.20000000000005"/>
    <n v="441.8"/>
    <n v="310.8"/>
    <n v="135.5"/>
    <n v="144.30000000000001"/>
    <n v="156.9"/>
  </r>
  <r>
    <s v="Rural+Urban"/>
    <x v="7"/>
    <x v="12"/>
    <x v="96"/>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2294.5"/>
    <n v="454"/>
    <n v="452.7"/>
    <n v="315.39999999999998"/>
    <n v="140.69999999999999"/>
    <n v="148.5"/>
    <n v="159.4"/>
  </r>
  <r>
    <s v="Rural"/>
    <x v="8"/>
    <x v="0"/>
    <x v="97"/>
    <n v="143.4"/>
    <n v="187.5"/>
    <n v="173.4"/>
    <n v="154"/>
    <n v="154.80000000000001"/>
    <n v="147"/>
    <n v="187.8"/>
    <n v="159.5"/>
    <n v="113.8"/>
    <n v="164.5"/>
    <n v="156.1"/>
    <n v="164.3"/>
    <n v="159.6"/>
    <n v="184.6"/>
    <n v="157.5"/>
    <n v="152.4"/>
    <n v="156.80000000000001"/>
    <s v="NA"/>
    <n v="150.9"/>
    <n v="153.9"/>
    <n v="162.5"/>
    <n v="147.5"/>
    <n v="155.1"/>
    <n v="163.5"/>
    <n v="156.19999999999999"/>
    <n v="155.9"/>
    <n v="158.5"/>
    <n v="2250.2999999999997"/>
    <n v="466.7"/>
    <n v="304.8"/>
    <n v="318.7"/>
    <n v="147.5"/>
    <n v="155.1"/>
    <n v="163.5"/>
  </r>
  <r>
    <s v="Urban"/>
    <x v="8"/>
    <x v="0"/>
    <x v="97"/>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2288.8000000000002"/>
    <n v="440"/>
    <n v="446.3"/>
    <n v="311.79999999999995"/>
    <n v="136.9"/>
    <n v="145.4"/>
    <n v="156.1"/>
  </r>
  <r>
    <s v="Rural+Urban"/>
    <x v="8"/>
    <x v="0"/>
    <x v="97"/>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2263"/>
    <n v="455.8"/>
    <n v="455.6"/>
    <n v="316.10000000000002"/>
    <n v="141.9"/>
    <n v="149.6"/>
    <n v="159.19999999999999"/>
  </r>
  <r>
    <s v="Rural"/>
    <x v="8"/>
    <x v="1"/>
    <x v="98"/>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n v="2211.8000000000002"/>
    <n v="471.4"/>
    <n v="309.20000000000005"/>
    <n v="319.5"/>
    <n v="150.19999999999999"/>
    <n v="157"/>
    <n v="163.6"/>
  </r>
  <r>
    <s v="Urban"/>
    <x v="8"/>
    <x v="1"/>
    <x v="98"/>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2259.3000000000002"/>
    <n v="444.2"/>
    <n v="455.4"/>
    <n v="313"/>
    <n v="140.5"/>
    <n v="147.30000000000001"/>
    <n v="156.6"/>
  </r>
  <r>
    <s v="Rural+Urban"/>
    <x v="8"/>
    <x v="1"/>
    <x v="98"/>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2227.6000000000004"/>
    <n v="460.40000000000003"/>
    <n v="463.1"/>
    <n v="317.10000000000002"/>
    <n v="145.1"/>
    <n v="151.5"/>
    <n v="159.5"/>
  </r>
  <r>
    <s v="Rural"/>
    <x v="8"/>
    <x v="2"/>
    <x v="99"/>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n v="2211.8000000000002"/>
    <n v="472.9"/>
    <n v="310.8"/>
    <n v="317.7"/>
    <n v="151.30000000000001"/>
    <n v="157.80000000000001"/>
    <n v="163.80000000000001"/>
  </r>
  <r>
    <s v="Urban"/>
    <x v="8"/>
    <x v="2"/>
    <x v="99"/>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2257.9999999999995"/>
    <n v="446.4"/>
    <n v="461.90000000000003"/>
    <n v="311.8"/>
    <n v="141.69999999999999"/>
    <n v="148.6"/>
    <n v="157.6"/>
  </r>
  <r>
    <s v="Rural+Urban"/>
    <x v="8"/>
    <x v="2"/>
    <x v="99"/>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2227.5"/>
    <n v="462.1"/>
    <n v="466.59999999999997"/>
    <n v="315.5"/>
    <n v="146.19999999999999"/>
    <n v="152.6"/>
    <n v="160.19999999999999"/>
  </r>
  <r>
    <s v="Rural"/>
    <x v="8"/>
    <x v="3"/>
    <x v="100"/>
    <n v="142.69999999999999"/>
    <n v="195.5"/>
    <n v="163.4"/>
    <n v="155"/>
    <n v="175.2"/>
    <n v="160.6"/>
    <n v="135.1"/>
    <n v="161.1"/>
    <n v="112.2"/>
    <n v="164.4"/>
    <n v="161.9"/>
    <n v="166.8"/>
    <n v="155.6"/>
    <n v="186.8"/>
    <n v="160.69999999999999"/>
    <n v="155.1"/>
    <n v="159.9"/>
    <s v="-"/>
    <n v="156"/>
    <n v="155.5"/>
    <n v="165.3"/>
    <n v="151.69999999999999"/>
    <n v="158.6"/>
    <n v="164.1"/>
    <n v="154.6"/>
    <n v="158"/>
    <n v="157.6"/>
    <n v="2236.3000000000002"/>
    <n v="475.69999999999993"/>
    <n v="311.5"/>
    <n v="319.89999999999998"/>
    <n v="151.69999999999999"/>
    <n v="158.6"/>
    <n v="164.1"/>
  </r>
  <r>
    <s v="Urban"/>
    <x v="8"/>
    <x v="3"/>
    <x v="100"/>
    <n v="147.6"/>
    <n v="202.5"/>
    <n v="166.4"/>
    <n v="156"/>
    <n v="161.4"/>
    <n v="168.8"/>
    <n v="161.6"/>
    <n v="162.80000000000001"/>
    <n v="114.8"/>
    <n v="162.80000000000001"/>
    <n v="151.5"/>
    <n v="171.4"/>
    <n v="162"/>
    <n v="194.4"/>
    <n v="155.9"/>
    <n v="139.30000000000001"/>
    <n v="153.4"/>
    <n v="161.4"/>
    <n v="154.9"/>
    <n v="147.6"/>
    <n v="157.5"/>
    <n v="142.1"/>
    <n v="149.1"/>
    <n v="157.6"/>
    <n v="156.6"/>
    <n v="150.5"/>
    <n v="158"/>
    <n v="2284"/>
    <n v="448.6"/>
    <n v="463.9"/>
    <n v="314.10000000000002"/>
    <n v="142.1"/>
    <n v="149.1"/>
    <n v="157.6"/>
  </r>
  <r>
    <s v="Rural+Urban"/>
    <x v="8"/>
    <x v="3"/>
    <x v="100"/>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2252.9"/>
    <n v="464.6"/>
    <n v="468.8"/>
    <n v="317.70000000000005"/>
    <n v="146.6"/>
    <n v="153.19999999999999"/>
    <n v="160.30000000000001"/>
  </r>
  <r>
    <s v="Rural"/>
    <x v="8"/>
    <x v="4"/>
    <x v="101"/>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n v="2284.8999999999996"/>
    <n v="490.4"/>
    <n v="320.5"/>
    <n v="328.4"/>
    <n v="153.19999999999999"/>
    <n v="160"/>
    <n v="167.6"/>
  </r>
  <r>
    <s v="Urban"/>
    <x v="8"/>
    <x v="4"/>
    <x v="101"/>
    <n v="148.80000000000001"/>
    <n v="204.3"/>
    <n v="173"/>
    <n v="156.5"/>
    <n v="168.8"/>
    <n v="172.5"/>
    <n v="166.5"/>
    <n v="165.9"/>
    <n v="115.9"/>
    <n v="165.2"/>
    <n v="152"/>
    <n v="171.1"/>
    <n v="164.2"/>
    <n v="198.2"/>
    <n v="156.5"/>
    <n v="140.19999999999999"/>
    <n v="154.1"/>
    <n v="161.6"/>
    <n v="155.5"/>
    <n v="150.1"/>
    <n v="160.4"/>
    <n v="145"/>
    <n v="152.6"/>
    <n v="156.6"/>
    <n v="157.5"/>
    <n v="152.30000000000001"/>
    <n v="159.5"/>
    <n v="2322.9"/>
    <n v="450.79999999999995"/>
    <n v="467.20000000000005"/>
    <n v="317.89999999999998"/>
    <n v="145"/>
    <n v="152.6"/>
    <n v="156.6"/>
  </r>
  <r>
    <s v="Rural+Urban"/>
    <x v="8"/>
    <x v="4"/>
    <x v="101"/>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2297.6000000000004"/>
    <n v="474.29999999999995"/>
    <n v="475.7"/>
    <n v="324.39999999999998"/>
    <n v="148.9"/>
    <n v="155.80000000000001"/>
    <n v="161.19999999999999"/>
  </r>
  <r>
    <s v="Rural"/>
    <x v="8"/>
    <x v="5"/>
    <x v="102"/>
    <n v="145.6"/>
    <n v="200.1"/>
    <n v="179.3"/>
    <n v="156.1"/>
    <n v="190.4"/>
    <n v="158.6"/>
    <n v="144.69999999999999"/>
    <n v="165.5"/>
    <n v="114.6"/>
    <n v="170"/>
    <n v="165.5"/>
    <n v="171.7"/>
    <n v="160.5"/>
    <n v="189.1"/>
    <n v="165.3"/>
    <n v="159.9"/>
    <n v="164.6"/>
    <s v="NA"/>
    <n v="162.1"/>
    <n v="159.19999999999999"/>
    <n v="169.7"/>
    <n v="154.19999999999999"/>
    <n v="160.4"/>
    <n v="166.8"/>
    <n v="159.4"/>
    <n v="161.5"/>
    <n v="162.1"/>
    <n v="2311.6999999999998"/>
    <n v="489.80000000000007"/>
    <n v="321.29999999999995"/>
    <n v="329.1"/>
    <n v="154.19999999999999"/>
    <n v="160.4"/>
    <n v="166.8"/>
  </r>
  <r>
    <s v="Urban"/>
    <x v="8"/>
    <x v="5"/>
    <x v="102"/>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2349.7999999999997"/>
    <n v="452.6"/>
    <n v="466.40000000000003"/>
    <n v="318.8"/>
    <n v="147.5"/>
    <n v="150.69999999999999"/>
    <n v="158.1"/>
  </r>
  <r>
    <s v="Rural+Urban"/>
    <x v="8"/>
    <x v="5"/>
    <x v="102"/>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2324.7000000000003"/>
    <n v="474.7"/>
    <n v="475.1"/>
    <n v="325.10000000000002"/>
    <n v="150.69999999999999"/>
    <n v="154.9"/>
    <n v="161.69999999999999"/>
  </r>
  <r>
    <s v="Rural"/>
    <x v="8"/>
    <x v="6"/>
    <x v="103"/>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n v="2322.1"/>
    <n v="492.40000000000003"/>
    <n v="322.8"/>
    <n v="330.8"/>
    <n v="157.1"/>
    <n v="160.69999999999999"/>
    <n v="167.2"/>
  </r>
  <r>
    <s v="Urban"/>
    <x v="8"/>
    <x v="6"/>
    <x v="103"/>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2367.3000000000002"/>
    <n v="455.3"/>
    <n v="469.9"/>
    <n v="321.10000000000002"/>
    <n v="149.5"/>
    <n v="151.19999999999999"/>
    <n v="160.30000000000001"/>
  </r>
  <r>
    <s v="Rural+Urban"/>
    <x v="8"/>
    <x v="6"/>
    <x v="103"/>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2338.1999999999998"/>
    <n v="477.29999999999995"/>
    <n v="478"/>
    <n v="327.10000000000002"/>
    <n v="153.1"/>
    <n v="155.30000000000001"/>
    <n v="163.19999999999999"/>
  </r>
  <r>
    <s v="Rural"/>
    <x v="8"/>
    <x v="7"/>
    <x v="104"/>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n v="2321"/>
    <n v="495.90000000000003"/>
    <n v="324"/>
    <n v="331.4"/>
    <n v="157.69999999999999"/>
    <n v="161.1"/>
    <n v="167.5"/>
  </r>
  <r>
    <s v="Urban"/>
    <x v="8"/>
    <x v="7"/>
    <x v="104"/>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2354.4"/>
    <n v="460.7"/>
    <n v="475.99999999999994"/>
    <n v="322.39999999999998"/>
    <n v="150.4"/>
    <n v="153.69999999999999"/>
    <n v="160.4"/>
  </r>
  <r>
    <s v="Rural+Urban"/>
    <x v="8"/>
    <x v="7"/>
    <x v="104"/>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2334.1"/>
    <n v="483"/>
    <n v="482.2"/>
    <n v="328.4"/>
    <n v="154"/>
    <n v="157.6"/>
    <n v="163.80000000000001"/>
  </r>
  <r>
    <s v="Rural"/>
    <x v="8"/>
    <x v="8"/>
    <x v="105"/>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n v="2324.1"/>
    <n v="498.4"/>
    <n v="325"/>
    <n v="332.1"/>
    <n v="157.80000000000001"/>
    <n v="162.69999999999999"/>
    <n v="168.5"/>
  </r>
  <r>
    <s v="Urban"/>
    <x v="8"/>
    <x v="8"/>
    <x v="105"/>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2354.4"/>
    <n v="460.79999999999995"/>
    <n v="476.2"/>
    <n v="322.39999999999998"/>
    <n v="150.5"/>
    <n v="153.9"/>
    <n v="160.30000000000001"/>
  </r>
  <r>
    <s v="Rural+Urban"/>
    <x v="8"/>
    <x v="8"/>
    <x v="105"/>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2334.1"/>
    <n v="483.2"/>
    <n v="482.2"/>
    <n v="328.4"/>
    <n v="154"/>
    <n v="157.69999999999999"/>
    <n v="163.69999999999999"/>
  </r>
  <r>
    <s v="Rural"/>
    <x v="8"/>
    <x v="9"/>
    <x v="106"/>
    <n v="146.1"/>
    <n v="202.5"/>
    <n v="170.1"/>
    <n v="158.4"/>
    <n v="198.8"/>
    <n v="152.6"/>
    <n v="170.4"/>
    <n v="165.2"/>
    <n v="121.6"/>
    <n v="170.6"/>
    <n v="168.8"/>
    <n v="173.6"/>
    <n v="165.5"/>
    <n v="191.2"/>
    <n v="168.9"/>
    <n v="164.8"/>
    <n v="168.3"/>
    <s v="NA"/>
    <n v="165.5"/>
    <n v="162"/>
    <n v="172.5"/>
    <n v="159.5"/>
    <n v="163.19999999999999"/>
    <n v="169"/>
    <n v="161.1"/>
    <n v="164.7"/>
    <n v="166.3"/>
    <n v="2355.3999999999996"/>
    <n v="502.00000000000006"/>
    <n v="327.5"/>
    <n v="333.6"/>
    <n v="159.5"/>
    <n v="163.19999999999999"/>
    <n v="169"/>
  </r>
  <r>
    <s v="Urban"/>
    <x v="8"/>
    <x v="9"/>
    <x v="106"/>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2395.4000000000005"/>
    <n v="463.50000000000006"/>
    <n v="480.09999999999997"/>
    <n v="323.8"/>
    <n v="152.19999999999999"/>
    <n v="155.1"/>
    <n v="160.30000000000001"/>
  </r>
  <r>
    <s v="Rural+Urban"/>
    <x v="8"/>
    <x v="9"/>
    <x v="106"/>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2368.1999999999998"/>
    <n v="486.3"/>
    <n v="486.19999999999993"/>
    <n v="329.9"/>
    <n v="155.69999999999999"/>
    <n v="158.6"/>
    <n v="163.9"/>
  </r>
  <r>
    <s v="Rural"/>
    <x v="8"/>
    <x v="11"/>
    <x v="107"/>
    <n v="146.9"/>
    <n v="199.8"/>
    <n v="171.5"/>
    <n v="159.1"/>
    <n v="198.4"/>
    <n v="153.19999999999999"/>
    <n v="183.9"/>
    <n v="165.4"/>
    <n v="122.1"/>
    <n v="170.8"/>
    <n v="169.1"/>
    <n v="174.3"/>
    <n v="167.5"/>
    <n v="191.4"/>
    <n v="170.4"/>
    <n v="166"/>
    <n v="169.8"/>
    <s v="NA"/>
    <n v="165.3"/>
    <n v="162.9"/>
    <n v="173.4"/>
    <n v="158.9"/>
    <n v="163.80000000000001"/>
    <n v="169.3"/>
    <n v="162.4"/>
    <n v="165.2"/>
    <n v="167.6"/>
    <n v="2373.4"/>
    <n v="506.2"/>
    <n v="328.20000000000005"/>
    <n v="335.8"/>
    <n v="158.9"/>
    <n v="163.80000000000001"/>
    <n v="169.3"/>
  </r>
  <r>
    <s v="Urban"/>
    <x v="8"/>
    <x v="11"/>
    <x v="107"/>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2414.8999999999996"/>
    <n v="467.3"/>
    <n v="480.99999999999994"/>
    <n v="326"/>
    <n v="151.19999999999999"/>
    <n v="156.69999999999999"/>
    <n v="160.80000000000001"/>
  </r>
  <r>
    <s v="Rural+Urban"/>
    <x v="8"/>
    <x v="11"/>
    <x v="107"/>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2387"/>
    <n v="490.40000000000003"/>
    <n v="487.40000000000003"/>
    <n v="332.1"/>
    <n v="154.80000000000001"/>
    <n v="159.80000000000001"/>
    <n v="164.3"/>
  </r>
  <r>
    <s v="Rural"/>
    <x v="8"/>
    <x v="12"/>
    <x v="108"/>
    <n v="147.4"/>
    <n v="197"/>
    <n v="176.5"/>
    <n v="159.80000000000001"/>
    <n v="195.8"/>
    <n v="152"/>
    <n v="172.3"/>
    <n v="164.5"/>
    <n v="120.6"/>
    <n v="171.7"/>
    <n v="169.7"/>
    <n v="175.1"/>
    <n v="165.8"/>
    <n v="190.8"/>
    <n v="171.8"/>
    <n v="167.3"/>
    <n v="171.2"/>
    <s v="NA"/>
    <n v="165.6"/>
    <n v="163.9"/>
    <n v="174"/>
    <n v="160.1"/>
    <n v="164.5"/>
    <n v="169.7"/>
    <n v="162.80000000000001"/>
    <n v="166"/>
    <n v="167"/>
    <n v="2359"/>
    <n v="510.3"/>
    <n v="329.5"/>
    <n v="336.8"/>
    <n v="160.1"/>
    <n v="164.5"/>
    <n v="169.7"/>
  </r>
  <r>
    <s v="Urban"/>
    <x v="8"/>
    <x v="12"/>
    <x v="108"/>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2403.1000000000004"/>
    <n v="470.7"/>
    <n v="481.1"/>
    <n v="327.5"/>
    <n v="151.80000000000001"/>
    <n v="157.6"/>
    <n v="160.6"/>
  </r>
  <r>
    <s v="Rural+Urban"/>
    <x v="8"/>
    <x v="12"/>
    <x v="108"/>
    <n v="148.69999999999999"/>
    <n v="198.8"/>
    <n v="177.9"/>
    <n v="159.9"/>
    <n v="187.6"/>
    <n v="154.9"/>
    <n v="188.3"/>
    <n v="164.4"/>
    <n v="121"/>
    <n v="170.5"/>
    <n v="164.2"/>
    <n v="176.5"/>
    <n v="168.2"/>
    <n v="192.4"/>
    <n v="168.5"/>
    <n v="158.69999999999999"/>
    <n v="167"/>
    <n v="163.4"/>
    <n v="164.1"/>
    <n v="160.19999999999999"/>
    <n v="170.6"/>
    <n v="155.69999999999999"/>
    <n v="160.6"/>
    <n v="164.4"/>
    <n v="162.6"/>
    <n v="162"/>
    <n v="166.2"/>
    <n v="2373.3000000000002"/>
    <n v="494.2"/>
    <n v="487.7"/>
    <n v="333.2"/>
    <n v="155.69999999999999"/>
    <n v="160.6"/>
    <n v="164.4"/>
  </r>
  <r>
    <s v="Rural"/>
    <x v="9"/>
    <x v="0"/>
    <x v="109"/>
    <n v="148.30000000000001"/>
    <n v="196.9"/>
    <n v="178"/>
    <n v="160.5"/>
    <n v="192.6"/>
    <n v="151.19999999999999"/>
    <n v="159.19999999999999"/>
    <n v="164"/>
    <n v="119.3"/>
    <n v="173.3"/>
    <n v="169.8"/>
    <n v="175.8"/>
    <n v="164.1"/>
    <n v="190.7"/>
    <n v="173.2"/>
    <n v="169.3"/>
    <n v="172.7"/>
    <s v="NA"/>
    <n v="165.8"/>
    <n v="164.9"/>
    <n v="174.7"/>
    <n v="160.80000000000001"/>
    <n v="164.9"/>
    <n v="169.9"/>
    <n v="163.19999999999999"/>
    <n v="166.6"/>
    <n v="166.4"/>
    <n v="2343.6999999999998"/>
    <n v="515.20000000000005"/>
    <n v="330.70000000000005"/>
    <n v="337.9"/>
    <n v="160.80000000000001"/>
    <n v="164.9"/>
    <n v="169.9"/>
  </r>
  <r>
    <s v="Urban"/>
    <x v="9"/>
    <x v="0"/>
    <x v="109"/>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2383.1"/>
    <n v="475.4"/>
    <n v="482.90000000000003"/>
    <n v="328.9"/>
    <n v="152.69999999999999"/>
    <n v="158.4"/>
    <n v="161"/>
  </r>
  <r>
    <s v="Rural+Urban"/>
    <x v="9"/>
    <x v="0"/>
    <x v="109"/>
    <n v="149.5"/>
    <n v="198.7"/>
    <n v="178.8"/>
    <n v="160.5"/>
    <n v="184.7"/>
    <n v="153.69999999999999"/>
    <n v="174.3"/>
    <n v="163.9"/>
    <n v="120"/>
    <n v="172.1"/>
    <n v="164.3"/>
    <n v="177.3"/>
    <n v="166.4"/>
    <n v="192.2"/>
    <n v="169.9"/>
    <n v="160.69999999999999"/>
    <n v="168.5"/>
    <n v="164.5"/>
    <n v="164.2"/>
    <n v="161.1"/>
    <n v="171.4"/>
    <n v="156.5"/>
    <n v="161.19999999999999"/>
    <n v="164.7"/>
    <n v="163"/>
    <n v="162.69999999999999"/>
    <n v="165.7"/>
    <n v="2356.3999999999996"/>
    <n v="499.1"/>
    <n v="489.79999999999995"/>
    <n v="334.4"/>
    <n v="156.5"/>
    <n v="161.19999999999999"/>
    <n v="164.7"/>
  </r>
  <r>
    <s v="Rural"/>
    <x v="9"/>
    <x v="1"/>
    <x v="110"/>
    <n v="148.80000000000001"/>
    <n v="198.1"/>
    <n v="175.5"/>
    <n v="160.69999999999999"/>
    <n v="192.6"/>
    <n v="151.4"/>
    <n v="155.19999999999999"/>
    <n v="163.9"/>
    <n v="118.1"/>
    <n v="175.4"/>
    <n v="170.5"/>
    <n v="176.3"/>
    <n v="163.9"/>
    <n v="191.5"/>
    <n v="174.1"/>
    <n v="171"/>
    <n v="173.7"/>
    <s v="NA"/>
    <n v="167.4"/>
    <n v="165.7"/>
    <n v="175.3"/>
    <n v="161.19999999999999"/>
    <n v="165.5"/>
    <n v="170.3"/>
    <n v="164.5"/>
    <n v="167.3"/>
    <n v="166.7"/>
    <n v="2341.9"/>
    <n v="518.79999999999995"/>
    <n v="333.1"/>
    <n v="339.8"/>
    <n v="161.19999999999999"/>
    <n v="165.5"/>
    <n v="170.3"/>
  </r>
  <r>
    <s v="Urban"/>
    <x v="9"/>
    <x v="1"/>
    <x v="110"/>
    <n v="152.5"/>
    <n v="205.2"/>
    <n v="176.4"/>
    <n v="160.6"/>
    <n v="171.5"/>
    <n v="156.4"/>
    <n v="198"/>
    <n v="163.19999999999999"/>
    <n v="120.6"/>
    <n v="172.2"/>
    <n v="156.69999999999999"/>
    <n v="180"/>
    <n v="170.2"/>
    <n v="196.5"/>
    <n v="165.7"/>
    <n v="150.4"/>
    <n v="163.4"/>
    <n v="165.5"/>
    <n v="163"/>
    <n v="157.4"/>
    <n v="167.2"/>
    <n v="153.1"/>
    <n v="159.5"/>
    <n v="162"/>
    <n v="164.2"/>
    <n v="159.4"/>
    <n v="165.5"/>
    <n v="2380"/>
    <n v="479.5"/>
    <n v="485.9"/>
    <n v="331.4"/>
    <n v="153.1"/>
    <n v="159.5"/>
    <n v="162"/>
  </r>
  <r>
    <s v="Rural+Urban"/>
    <x v="9"/>
    <x v="1"/>
    <x v="110"/>
    <n v="150"/>
    <n v="200.6"/>
    <n v="175.8"/>
    <n v="160.69999999999999"/>
    <n v="184.9"/>
    <n v="153.69999999999999"/>
    <n v="169.7"/>
    <n v="163.69999999999999"/>
    <n v="118.9"/>
    <n v="174.3"/>
    <n v="164.7"/>
    <n v="178"/>
    <n v="166.2"/>
    <n v="192.8"/>
    <n v="170.8"/>
    <n v="162.4"/>
    <n v="169.6"/>
    <n v="165.5"/>
    <n v="165.7"/>
    <n v="161.80000000000001"/>
    <n v="172.2"/>
    <n v="156.9"/>
    <n v="162.1"/>
    <n v="165.4"/>
    <n v="164.4"/>
    <n v="163.5"/>
    <n v="166.1"/>
    <n v="2354.0000000000005"/>
    <n v="502.80000000000007"/>
    <n v="493"/>
    <n v="336.6"/>
    <n v="156.9"/>
    <n v="162.1"/>
    <n v="165.4"/>
  </r>
  <r>
    <s v="Rural"/>
    <x v="9"/>
    <x v="2"/>
    <x v="111"/>
    <n v="150.19999999999999"/>
    <n v="208"/>
    <n v="167.9"/>
    <n v="162"/>
    <n v="203.1"/>
    <n v="155.9"/>
    <n v="155.80000000000001"/>
    <n v="164.2"/>
    <n v="118.1"/>
    <n v="178.7"/>
    <n v="171.2"/>
    <n v="177.4"/>
    <n v="166.6"/>
    <n v="192.3"/>
    <n v="175.4"/>
    <n v="173.2"/>
    <n v="175.1"/>
    <s v="NA"/>
    <n v="168.9"/>
    <n v="166.5"/>
    <n v="176"/>
    <n v="162"/>
    <n v="166.6"/>
    <n v="170.6"/>
    <n v="167.4"/>
    <n v="168.3"/>
    <n v="168.7"/>
    <n v="2371.4000000000005"/>
    <n v="523.70000000000005"/>
    <n v="335.4"/>
    <n v="343.4"/>
    <n v="162"/>
    <n v="166.6"/>
    <n v="170.6"/>
  </r>
  <r>
    <s v="Urban"/>
    <x v="9"/>
    <x v="2"/>
    <x v="111"/>
    <n v="153.69999999999999"/>
    <n v="215.8"/>
    <n v="167.7"/>
    <n v="162.6"/>
    <n v="180"/>
    <n v="159.6"/>
    <n v="188.4"/>
    <n v="163.4"/>
    <n v="120.3"/>
    <n v="174.7"/>
    <n v="157.1"/>
    <n v="181.5"/>
    <n v="171.5"/>
    <n v="197.5"/>
    <n v="167.1"/>
    <n v="152.6"/>
    <n v="164.9"/>
    <n v="165.3"/>
    <n v="164.5"/>
    <n v="158.6"/>
    <n v="168.2"/>
    <n v="154.19999999999999"/>
    <n v="160.80000000000001"/>
    <n v="162.69999999999999"/>
    <n v="166.8"/>
    <n v="160.6"/>
    <n v="166.5"/>
    <n v="2393.8000000000002"/>
    <n v="484.6"/>
    <n v="488.4"/>
    <n v="335"/>
    <n v="154.19999999999999"/>
    <n v="160.80000000000001"/>
    <n v="162.69999999999999"/>
  </r>
  <r>
    <s v="Rural+Urban"/>
    <x v="9"/>
    <x v="2"/>
    <x v="111"/>
    <n v="151.30000000000001"/>
    <n v="210.7"/>
    <n v="167.8"/>
    <n v="162.19999999999999"/>
    <n v="194.6"/>
    <n v="157.6"/>
    <n v="166.9"/>
    <n v="163.9"/>
    <n v="118.8"/>
    <n v="177.4"/>
    <n v="165.3"/>
    <n v="179.3"/>
    <n v="168.4"/>
    <n v="193.7"/>
    <n v="172.1"/>
    <n v="164.6"/>
    <n v="171.1"/>
    <n v="165.3"/>
    <n v="167.2"/>
    <n v="162.80000000000001"/>
    <n v="173"/>
    <n v="157.9"/>
    <n v="163.30000000000001"/>
    <n v="166"/>
    <n v="167.2"/>
    <n v="164.6"/>
    <n v="167.7"/>
    <n v="2377.9"/>
    <n v="507.79999999999995"/>
    <n v="495.3"/>
    <n v="340.2"/>
    <n v="157.9"/>
    <n v="163.30000000000001"/>
    <n v="166"/>
  </r>
  <r>
    <s v="Rural"/>
    <x v="9"/>
    <x v="3"/>
    <x v="112"/>
    <n v="151.80000000000001"/>
    <n v="209.7"/>
    <n v="164.5"/>
    <n v="163.80000000000001"/>
    <n v="207.4"/>
    <n v="169.7"/>
    <n v="153.6"/>
    <n v="165.1"/>
    <n v="118.2"/>
    <n v="182.9"/>
    <n v="172.4"/>
    <n v="178.9"/>
    <n v="168.6"/>
    <n v="192.8"/>
    <n v="177.5"/>
    <n v="175.1"/>
    <n v="177.1"/>
    <s v="NA"/>
    <n v="173.3"/>
    <n v="167.7"/>
    <n v="177"/>
    <n v="166.2"/>
    <n v="167.2"/>
    <n v="170.9"/>
    <n v="169"/>
    <n v="170.2"/>
    <n v="170.8"/>
    <n v="2399.4"/>
    <n v="529.70000000000005"/>
    <n v="341"/>
    <n v="346"/>
    <n v="166.2"/>
    <n v="167.2"/>
    <n v="170.9"/>
  </r>
  <r>
    <s v="Urban"/>
    <x v="9"/>
    <x v="3"/>
    <x v="112"/>
    <n v="155.4"/>
    <n v="215.8"/>
    <n v="164.6"/>
    <n v="164.2"/>
    <n v="186"/>
    <n v="175.9"/>
    <n v="190.7"/>
    <n v="164"/>
    <n v="120.5"/>
    <n v="178"/>
    <n v="157.5"/>
    <n v="183.3"/>
    <n v="174.5"/>
    <n v="197.1"/>
    <n v="168.4"/>
    <n v="154.5"/>
    <n v="166.3"/>
    <n v="167"/>
    <n v="170.5"/>
    <n v="159.80000000000001"/>
    <n v="169"/>
    <n v="159.30000000000001"/>
    <n v="162.19999999999999"/>
    <n v="164"/>
    <n v="168.4"/>
    <n v="163.1"/>
    <n v="169.2"/>
    <n v="2427.5"/>
    <n v="489.2"/>
    <n v="497.3"/>
    <n v="337.4"/>
    <n v="159.30000000000001"/>
    <n v="162.19999999999999"/>
    <n v="164"/>
  </r>
  <r>
    <s v="Rural+Urban"/>
    <x v="9"/>
    <x v="3"/>
    <x v="112"/>
    <n v="152.9"/>
    <n v="211.8"/>
    <n v="164.5"/>
    <n v="163.9"/>
    <n v="199.5"/>
    <n v="172.6"/>
    <n v="166.2"/>
    <n v="164.7"/>
    <n v="119"/>
    <n v="181.3"/>
    <n v="166.2"/>
    <n v="180.9"/>
    <n v="170.8"/>
    <n v="193.9"/>
    <n v="173.9"/>
    <n v="166.5"/>
    <n v="172.8"/>
    <n v="167"/>
    <n v="172.2"/>
    <n v="164"/>
    <n v="174"/>
    <n v="162.6"/>
    <n v="164.4"/>
    <n v="166.9"/>
    <n v="168.8"/>
    <n v="166.8"/>
    <n v="170.1"/>
    <n v="2408.2000000000003"/>
    <n v="513.20000000000005"/>
    <n v="503.2"/>
    <n v="342.8"/>
    <n v="162.6"/>
    <n v="164.4"/>
    <n v="166.9"/>
  </r>
  <r>
    <s v="Rural"/>
    <x v="9"/>
    <x v="4"/>
    <x v="113"/>
    <n v="152.9"/>
    <n v="214.7"/>
    <n v="161.4"/>
    <n v="164.6"/>
    <n v="209.9"/>
    <n v="168"/>
    <n v="160.4"/>
    <n v="165"/>
    <n v="118.9"/>
    <n v="186.6"/>
    <n v="173.2"/>
    <n v="180.4"/>
    <n v="170.8"/>
    <n v="192.9"/>
    <n v="179.3"/>
    <n v="177.2"/>
    <n v="179"/>
    <s v="NA"/>
    <n v="175.3"/>
    <n v="168.9"/>
    <n v="177.7"/>
    <n v="167.1"/>
    <n v="167.6"/>
    <n v="171.8"/>
    <n v="168.5"/>
    <n v="170.9"/>
    <n v="172.5"/>
    <n v="2419.7000000000003"/>
    <n v="535.5"/>
    <n v="344.20000000000005"/>
    <n v="346.2"/>
    <n v="167.1"/>
    <n v="167.6"/>
    <n v="171.8"/>
  </r>
  <r>
    <s v="Urban"/>
    <x v="9"/>
    <x v="4"/>
    <x v="113"/>
    <n v="156.69999999999999"/>
    <n v="221.2"/>
    <n v="164.1"/>
    <n v="165.4"/>
    <n v="189.5"/>
    <n v="174.5"/>
    <n v="203.2"/>
    <n v="164.1"/>
    <n v="121.2"/>
    <n v="181.4"/>
    <n v="158.5"/>
    <n v="184.9"/>
    <n v="177.5"/>
    <n v="197.5"/>
    <n v="170"/>
    <n v="155.9"/>
    <n v="167.8"/>
    <n v="167.5"/>
    <n v="173.5"/>
    <n v="161.1"/>
    <n v="170.1"/>
    <n v="159.4"/>
    <n v="163.19999999999999"/>
    <n v="165.2"/>
    <n v="168.2"/>
    <n v="163.80000000000001"/>
    <n v="170.8"/>
    <n v="2459.7000000000003"/>
    <n v="493.7"/>
    <n v="502.1"/>
    <n v="338.29999999999995"/>
    <n v="159.4"/>
    <n v="163.19999999999999"/>
    <n v="165.2"/>
  </r>
  <r>
    <s v="Rural+Urban"/>
    <x v="9"/>
    <x v="4"/>
    <x v="113"/>
    <n v="154.1"/>
    <n v="217"/>
    <n v="162.4"/>
    <n v="164.9"/>
    <n v="202.4"/>
    <n v="171"/>
    <n v="174.9"/>
    <n v="164.7"/>
    <n v="119.7"/>
    <n v="184.9"/>
    <n v="167.1"/>
    <n v="182.5"/>
    <n v="173.3"/>
    <n v="194.1"/>
    <n v="175.6"/>
    <n v="168.4"/>
    <n v="174.6"/>
    <n v="167.5"/>
    <n v="174.6"/>
    <n v="165.2"/>
    <n v="174.8"/>
    <n v="163"/>
    <n v="165.1"/>
    <n v="167.9"/>
    <n v="168.4"/>
    <n v="167.5"/>
    <n v="171.7"/>
    <n v="2433.0000000000005"/>
    <n v="518.6"/>
    <n v="507.3"/>
    <n v="343.20000000000005"/>
    <n v="163"/>
    <n v="165.1"/>
    <n v="167.9"/>
  </r>
  <r>
    <s v="Rural"/>
    <x v="9"/>
    <x v="5"/>
    <x v="114"/>
    <n v="153.80000000000001"/>
    <n v="217.2"/>
    <n v="169.6"/>
    <n v="165.4"/>
    <n v="208.1"/>
    <n v="165.8"/>
    <n v="167.3"/>
    <n v="164.6"/>
    <n v="119.1"/>
    <n v="188.9"/>
    <n v="174.2"/>
    <n v="181.9"/>
    <n v="172.4"/>
    <n v="192.9"/>
    <n v="180.7"/>
    <n v="178.7"/>
    <n v="180.4"/>
    <s v="NA"/>
    <n v="176.7"/>
    <n v="170.3"/>
    <n v="178.2"/>
    <n v="165.5"/>
    <n v="168"/>
    <n v="172.6"/>
    <n v="169.5"/>
    <n v="171"/>
    <n v="173.6"/>
    <n v="2441.2000000000003"/>
    <n v="539.79999999999995"/>
    <n v="347"/>
    <n v="347.7"/>
    <n v="165.5"/>
    <n v="168"/>
    <n v="172.6"/>
  </r>
  <r>
    <s v="Urban"/>
    <x v="9"/>
    <x v="5"/>
    <x v="114"/>
    <n v="157.5"/>
    <n v="223.4"/>
    <n v="172.8"/>
    <n v="166.4"/>
    <n v="188.6"/>
    <n v="174.1"/>
    <n v="211.5"/>
    <n v="163.6"/>
    <n v="121.4"/>
    <n v="183.5"/>
    <n v="159.1"/>
    <n v="186.3"/>
    <n v="179.3"/>
    <n v="198.3"/>
    <n v="171.6"/>
    <n v="157.4"/>
    <n v="169.4"/>
    <n v="166.8"/>
    <n v="174.9"/>
    <n v="162.1"/>
    <n v="170.9"/>
    <n v="157.19999999999999"/>
    <n v="164.1"/>
    <n v="166.5"/>
    <n v="169.2"/>
    <n v="163.80000000000001"/>
    <n v="171.4"/>
    <n v="2485.8000000000002"/>
    <n v="498.4"/>
    <n v="503.80000000000007"/>
    <n v="340.1"/>
    <n v="157.19999999999999"/>
    <n v="164.1"/>
    <n v="166.5"/>
  </r>
  <r>
    <s v="Rural+Urban"/>
    <x v="9"/>
    <x v="5"/>
    <x v="114"/>
    <n v="155"/>
    <n v="219.4"/>
    <n v="170.8"/>
    <n v="165.8"/>
    <n v="200.9"/>
    <n v="169.7"/>
    <n v="182.3"/>
    <n v="164.3"/>
    <n v="119.9"/>
    <n v="187.1"/>
    <n v="167.9"/>
    <n v="183.9"/>
    <n v="174.9"/>
    <n v="194.3"/>
    <n v="177.1"/>
    <n v="169.9"/>
    <n v="176"/>
    <n v="166.8"/>
    <n v="176"/>
    <n v="166.4"/>
    <n v="175.4"/>
    <n v="161.1"/>
    <n v="165.8"/>
    <n v="169"/>
    <n v="169.4"/>
    <n v="167.5"/>
    <n v="172.6"/>
    <n v="2456.2000000000003"/>
    <n v="523"/>
    <n v="509.20000000000005"/>
    <n v="344.8"/>
    <n v="161.1"/>
    <n v="165.8"/>
    <n v="169"/>
  </r>
  <r>
    <s v="Rural"/>
    <x v="9"/>
    <x v="6"/>
    <x v="115"/>
    <n v="155.19999999999999"/>
    <n v="210.8"/>
    <n v="174.3"/>
    <n v="166.3"/>
    <n v="202.2"/>
    <n v="169.6"/>
    <n v="168.6"/>
    <n v="164.4"/>
    <n v="119.2"/>
    <n v="191.8"/>
    <n v="174.5"/>
    <n v="183.1"/>
    <n v="172.5"/>
    <n v="193.2"/>
    <n v="182"/>
    <n v="180.3"/>
    <n v="181.7"/>
    <s v="NA"/>
    <n v="179.6"/>
    <n v="171.3"/>
    <n v="178.8"/>
    <n v="166.3"/>
    <n v="168.6"/>
    <n v="174.7"/>
    <n v="169.7"/>
    <n v="171.8"/>
    <n v="174.3"/>
    <n v="2445.6999999999998"/>
    <n v="544"/>
    <n v="350.9"/>
    <n v="348.5"/>
    <n v="166.3"/>
    <n v="168.6"/>
    <n v="174.7"/>
  </r>
  <r>
    <s v="Urban"/>
    <x v="9"/>
    <x v="6"/>
    <x v="115"/>
    <n v="159.30000000000001"/>
    <n v="217.1"/>
    <n v="176.6"/>
    <n v="167.1"/>
    <n v="184.8"/>
    <n v="179.5"/>
    <n v="208.5"/>
    <n v="164"/>
    <n v="121.5"/>
    <n v="186.3"/>
    <n v="159.80000000000001"/>
    <n v="187.7"/>
    <n v="179.4"/>
    <n v="198.6"/>
    <n v="172.7"/>
    <n v="158.69999999999999"/>
    <n v="170.6"/>
    <n v="167.8"/>
    <n v="179.5"/>
    <n v="163.1"/>
    <n v="171.7"/>
    <n v="157.4"/>
    <n v="164.6"/>
    <n v="169.1"/>
    <n v="169.8"/>
    <n v="164.7"/>
    <n v="172.3"/>
    <n v="2490.1999999999998"/>
    <n v="502"/>
    <n v="510.4"/>
    <n v="341.5"/>
    <n v="157.4"/>
    <n v="164.6"/>
    <n v="169.1"/>
  </r>
  <r>
    <s v="Rural+Urban"/>
    <x v="9"/>
    <x v="6"/>
    <x v="115"/>
    <n v="156.5"/>
    <n v="213"/>
    <n v="175.2"/>
    <n v="166.6"/>
    <n v="195.8"/>
    <n v="174.2"/>
    <n v="182.1"/>
    <n v="164.3"/>
    <n v="120"/>
    <n v="190"/>
    <n v="168.4"/>
    <n v="185.2"/>
    <n v="175"/>
    <n v="194.6"/>
    <n v="178.3"/>
    <n v="171.3"/>
    <n v="177.3"/>
    <n v="167.8"/>
    <n v="179.6"/>
    <n v="167.4"/>
    <n v="176.1"/>
    <n v="161.6"/>
    <n v="166.3"/>
    <n v="171.4"/>
    <n v="169.7"/>
    <n v="168.4"/>
    <n v="173.4"/>
    <n v="2460.9"/>
    <n v="526.90000000000009"/>
    <n v="514.79999999999995"/>
    <n v="345.79999999999995"/>
    <n v="161.6"/>
    <n v="166.3"/>
    <n v="171.4"/>
  </r>
  <r>
    <s v="Rural"/>
    <x v="9"/>
    <x v="7"/>
    <x v="116"/>
    <n v="159.5"/>
    <n v="204.1"/>
    <n v="168.3"/>
    <n v="167.9"/>
    <n v="198.1"/>
    <n v="169.2"/>
    <n v="173.1"/>
    <n v="167.1"/>
    <n v="120.2"/>
    <n v="195.6"/>
    <n v="174.8"/>
    <n v="184"/>
    <n v="173.9"/>
    <n v="193.7"/>
    <n v="183.2"/>
    <n v="181.7"/>
    <n v="183"/>
    <s v="NA"/>
    <n v="179.1"/>
    <n v="172.3"/>
    <n v="179.4"/>
    <n v="166.6"/>
    <n v="169.3"/>
    <n v="175.7"/>
    <n v="171.1"/>
    <n v="172.6"/>
    <n v="175.3"/>
    <n v="2449.4999999999995"/>
    <n v="547.9"/>
    <n v="351.4"/>
    <n v="350.5"/>
    <n v="166.6"/>
    <n v="169.3"/>
    <n v="175.7"/>
  </r>
  <r>
    <s v="Urban"/>
    <x v="9"/>
    <x v="7"/>
    <x v="116"/>
    <n v="162.1"/>
    <n v="210.9"/>
    <n v="170.6"/>
    <n v="168.4"/>
    <n v="182.5"/>
    <n v="177.1"/>
    <n v="213.1"/>
    <n v="167.3"/>
    <n v="122.2"/>
    <n v="189.7"/>
    <n v="160.5"/>
    <n v="188.9"/>
    <n v="180.4"/>
    <n v="198.7"/>
    <n v="173.7"/>
    <n v="160"/>
    <n v="171.6"/>
    <n v="169"/>
    <n v="178.4"/>
    <n v="164.2"/>
    <n v="172.6"/>
    <n v="157.69999999999999"/>
    <n v="165.1"/>
    <n v="169.9"/>
    <n v="171.4"/>
    <n v="165.4"/>
    <n v="173.1"/>
    <n v="2492.3999999999996"/>
    <n v="505.29999999999995"/>
    <n v="511.59999999999997"/>
    <n v="344"/>
    <n v="157.69999999999999"/>
    <n v="165.1"/>
    <n v="169.9"/>
  </r>
  <r>
    <s v="Rural+Urban"/>
    <x v="9"/>
    <x v="7"/>
    <x v="116"/>
    <n v="160.30000000000001"/>
    <n v="206.5"/>
    <n v="169.2"/>
    <n v="168.1"/>
    <n v="192.4"/>
    <n v="172.9"/>
    <n v="186.7"/>
    <n v="167.2"/>
    <n v="120.9"/>
    <n v="193.6"/>
    <n v="168.8"/>
    <n v="186.3"/>
    <n v="176.3"/>
    <n v="195"/>
    <n v="179.5"/>
    <n v="172.7"/>
    <n v="178.5"/>
    <n v="169"/>
    <n v="178.8"/>
    <n v="168.5"/>
    <n v="176.8"/>
    <n v="161.9"/>
    <n v="166.9"/>
    <n v="172.3"/>
    <n v="171.2"/>
    <n v="169.1"/>
    <n v="174.3"/>
    <n v="2464.2000000000003"/>
    <n v="530.70000000000005"/>
    <n v="516.29999999999995"/>
    <n v="348"/>
    <n v="161.9"/>
    <n v="166.9"/>
    <n v="172.3"/>
  </r>
  <r>
    <s v="Rural"/>
    <x v="9"/>
    <x v="8"/>
    <x v="117"/>
    <n v="162.9"/>
    <n v="206.7"/>
    <n v="169"/>
    <n v="169.5"/>
    <n v="194.1"/>
    <n v="164.1"/>
    <n v="176.9"/>
    <n v="169"/>
    <n v="120.8"/>
    <n v="199.1"/>
    <n v="175.4"/>
    <n v="184.8"/>
    <n v="175.5"/>
    <n v="194.5"/>
    <n v="184.7"/>
    <n v="183.3"/>
    <n v="184.5"/>
    <s v="NA"/>
    <n v="179.7"/>
    <n v="173.6"/>
    <n v="180.2"/>
    <n v="166.9"/>
    <n v="170"/>
    <n v="176.2"/>
    <n v="170.8"/>
    <n v="173.1"/>
    <n v="176.4"/>
    <n v="2462.3000000000002"/>
    <n v="552.5"/>
    <n v="353.29999999999995"/>
    <n v="351"/>
    <n v="166.9"/>
    <n v="170"/>
    <n v="176.2"/>
  </r>
  <r>
    <s v="Urban"/>
    <x v="9"/>
    <x v="8"/>
    <x v="117"/>
    <n v="164.9"/>
    <n v="213.7"/>
    <n v="170.9"/>
    <n v="170.1"/>
    <n v="179.3"/>
    <n v="167.5"/>
    <n v="220.8"/>
    <n v="169.2"/>
    <n v="123.1"/>
    <n v="193.6"/>
    <n v="161.1"/>
    <n v="190.4"/>
    <n v="181.8"/>
    <n v="199.7"/>
    <n v="175"/>
    <n v="161.69999999999999"/>
    <n v="173"/>
    <n v="169.5"/>
    <n v="179.2"/>
    <n v="165"/>
    <n v="173.8"/>
    <n v="158.19999999999999"/>
    <n v="165.8"/>
    <n v="170.9"/>
    <n v="171.1"/>
    <n v="166.1"/>
    <n v="174.1"/>
    <n v="2506.1"/>
    <n v="509.7"/>
    <n v="513.70000000000005"/>
    <n v="344.9"/>
    <n v="158.19999999999999"/>
    <n v="165.8"/>
    <n v="170.9"/>
  </r>
  <r>
    <s v="Rural+Urban"/>
    <x v="9"/>
    <x v="8"/>
    <x v="117"/>
    <n v="163.5"/>
    <n v="209.2"/>
    <n v="169.7"/>
    <n v="169.7"/>
    <n v="188.7"/>
    <n v="165.7"/>
    <n v="191.8"/>
    <n v="169.1"/>
    <n v="121.6"/>
    <n v="197.3"/>
    <n v="169.4"/>
    <n v="187.4"/>
    <n v="177.8"/>
    <n v="195.9"/>
    <n v="180.9"/>
    <n v="174.3"/>
    <n v="179.9"/>
    <n v="169.5"/>
    <n v="179.5"/>
    <n v="169.5"/>
    <n v="177.8"/>
    <n v="162.30000000000001"/>
    <n v="167.6"/>
    <n v="173.1"/>
    <n v="170.9"/>
    <n v="169.7"/>
    <n v="175.3"/>
    <n v="2476.8000000000002"/>
    <n v="535.1"/>
    <n v="518.5"/>
    <n v="348.70000000000005"/>
    <n v="162.30000000000001"/>
    <n v="167.6"/>
    <n v="173.1"/>
  </r>
  <r>
    <s v="Rural"/>
    <x v="9"/>
    <x v="9"/>
    <x v="118"/>
    <n v="164.7"/>
    <n v="208.8"/>
    <n v="170.3"/>
    <n v="170.9"/>
    <n v="191.6"/>
    <n v="162.19999999999999"/>
    <n v="184.8"/>
    <n v="169.7"/>
    <n v="121.1"/>
    <n v="201.6"/>
    <n v="175.8"/>
    <n v="185.6"/>
    <n v="177.4"/>
    <n v="194.9"/>
    <n v="186.1"/>
    <n v="184.4"/>
    <n v="185.9"/>
    <s v="NA"/>
    <n v="180.8"/>
    <n v="174.4"/>
    <n v="181.2"/>
    <n v="167.4"/>
    <n v="170.6"/>
    <n v="176.5"/>
    <n v="172"/>
    <n v="173.9"/>
    <n v="177.9"/>
    <n v="2479.4"/>
    <n v="556.4"/>
    <n v="355.20000000000005"/>
    <n v="353.2"/>
    <n v="167.4"/>
    <n v="170.6"/>
    <n v="176.5"/>
  </r>
  <r>
    <s v="Urban"/>
    <x v="9"/>
    <x v="9"/>
    <x v="118"/>
    <n v="166.4"/>
    <n v="214.9"/>
    <n v="171.9"/>
    <n v="171"/>
    <n v="177.7"/>
    <n v="165.7"/>
    <n v="228.6"/>
    <n v="169.9"/>
    <n v="123.4"/>
    <n v="196.4"/>
    <n v="161.6"/>
    <n v="191.5"/>
    <n v="183.3"/>
    <n v="200.1"/>
    <n v="175.5"/>
    <n v="162.6"/>
    <n v="173.6"/>
    <n v="171.2"/>
    <n v="180"/>
    <n v="166"/>
    <n v="174.7"/>
    <n v="158.80000000000001"/>
    <n v="166.3"/>
    <n v="171.2"/>
    <n v="172.3"/>
    <n v="166.8"/>
    <n v="175.3"/>
    <n v="2522.4"/>
    <n v="511.70000000000005"/>
    <n v="517.20000000000005"/>
    <n v="347"/>
    <n v="158.80000000000001"/>
    <n v="166.3"/>
    <n v="171.2"/>
  </r>
  <r>
    <s v="Rural+Urban"/>
    <x v="9"/>
    <x v="9"/>
    <x v="118"/>
    <n v="165.2"/>
    <n v="210.9"/>
    <n v="170.9"/>
    <n v="170.9"/>
    <n v="186.5"/>
    <n v="163.80000000000001"/>
    <n v="199.7"/>
    <n v="169.8"/>
    <n v="121.9"/>
    <n v="199.9"/>
    <n v="169.9"/>
    <n v="188.3"/>
    <n v="179.6"/>
    <n v="196.3"/>
    <n v="181.9"/>
    <n v="175.3"/>
    <n v="181"/>
    <n v="171.2"/>
    <n v="180.5"/>
    <n v="170.4"/>
    <n v="178.7"/>
    <n v="162.9"/>
    <n v="168.2"/>
    <n v="173.4"/>
    <n v="172.1"/>
    <n v="170.5"/>
    <n v="176.7"/>
    <n v="2493.6000000000004"/>
    <n v="538.20000000000005"/>
    <n v="522.1"/>
    <n v="350.79999999999995"/>
    <n v="162.9"/>
    <n v="168.2"/>
    <n v="173.4"/>
  </r>
  <r>
    <s v="Rural"/>
    <x v="9"/>
    <x v="11"/>
    <x v="119"/>
    <n v="166.9"/>
    <n v="207.2"/>
    <n v="180.2"/>
    <n v="172.3"/>
    <n v="194"/>
    <n v="159.1"/>
    <n v="171.6"/>
    <n v="170.2"/>
    <n v="121.5"/>
    <n v="204.8"/>
    <n v="176.4"/>
    <n v="186.9"/>
    <n v="176.6"/>
    <n v="195.5"/>
    <n v="187.2"/>
    <n v="185.2"/>
    <n v="186.9"/>
    <s v="NA"/>
    <n v="181.9"/>
    <n v="175.5"/>
    <n v="182.3"/>
    <n v="167.5"/>
    <n v="170.8"/>
    <n v="176.9"/>
    <n v="173.4"/>
    <n v="174.6"/>
    <n v="177.8"/>
    <n v="2483.1999999999998"/>
    <n v="559.29999999999995"/>
    <n v="357.4"/>
    <n v="355.70000000000005"/>
    <n v="167.5"/>
    <n v="170.8"/>
    <n v="176.9"/>
  </r>
  <r>
    <s v="Urban"/>
    <x v="9"/>
    <x v="11"/>
    <x v="119"/>
    <n v="168.4"/>
    <n v="213.4"/>
    <n v="183.2"/>
    <n v="172.3"/>
    <n v="180"/>
    <n v="162.6"/>
    <n v="205.5"/>
    <n v="171"/>
    <n v="123.4"/>
    <n v="198.8"/>
    <n v="162.1"/>
    <n v="192.4"/>
    <n v="181.3"/>
    <n v="200.6"/>
    <n v="176.7"/>
    <n v="163.5"/>
    <n v="174.7"/>
    <n v="171.8"/>
    <n v="180.3"/>
    <n v="166.9"/>
    <n v="175.8"/>
    <n v="158.9"/>
    <n v="166.7"/>
    <n v="171.5"/>
    <n v="173.8"/>
    <n v="167.4"/>
    <n v="174.1"/>
    <n v="2515"/>
    <n v="514.9"/>
    <n v="519"/>
    <n v="349.6"/>
    <n v="158.9"/>
    <n v="166.7"/>
    <n v="171.5"/>
  </r>
  <r>
    <s v="Rural+Urban"/>
    <x v="9"/>
    <x v="11"/>
    <x v="119"/>
    <n v="167.4"/>
    <n v="209.4"/>
    <n v="181.4"/>
    <n v="172.3"/>
    <n v="188.9"/>
    <n v="160.69999999999999"/>
    <n v="183.1"/>
    <n v="170.5"/>
    <n v="122.1"/>
    <n v="202.8"/>
    <n v="170.4"/>
    <n v="189.5"/>
    <n v="178.3"/>
    <n v="196.9"/>
    <n v="183.1"/>
    <n v="176.2"/>
    <n v="182.1"/>
    <n v="171.8"/>
    <n v="181.3"/>
    <n v="171.4"/>
    <n v="179.8"/>
    <n v="163"/>
    <n v="168.5"/>
    <n v="173.7"/>
    <n v="173.6"/>
    <n v="171.1"/>
    <n v="176.5"/>
    <n v="2493.7000000000003"/>
    <n v="541.4"/>
    <n v="524.5"/>
    <n v="353.4"/>
    <n v="163"/>
    <n v="168.5"/>
    <n v="173.7"/>
  </r>
  <r>
    <s v="Rural"/>
    <x v="9"/>
    <x v="12"/>
    <x v="120"/>
    <n v="168.8"/>
    <n v="206.9"/>
    <n v="189.1"/>
    <n v="173.4"/>
    <n v="193.9"/>
    <n v="156.69999999999999"/>
    <n v="150.19999999999999"/>
    <n v="170.5"/>
    <n v="121.2"/>
    <n v="207.5"/>
    <n v="176.8"/>
    <n v="187.7"/>
    <n v="174.4"/>
    <n v="195.9"/>
    <n v="188.1"/>
    <n v="185.9"/>
    <n v="187.8"/>
    <s v="NA"/>
    <n v="182.8"/>
    <n v="176.4"/>
    <n v="183.5"/>
    <n v="167.8"/>
    <n v="171.2"/>
    <n v="177.3"/>
    <n v="175.7"/>
    <n v="175.5"/>
    <n v="177.1"/>
    <n v="2473"/>
    <n v="561.79999999999995"/>
    <n v="359.20000000000005"/>
    <n v="359.2"/>
    <n v="167.8"/>
    <n v="171.2"/>
    <n v="177.3"/>
  </r>
  <r>
    <s v="Urban"/>
    <x v="9"/>
    <x v="12"/>
    <x v="120"/>
    <n v="170.2"/>
    <n v="212.9"/>
    <n v="191.9"/>
    <n v="173.9"/>
    <n v="179.1"/>
    <n v="159.5"/>
    <n v="178.7"/>
    <n v="171.3"/>
    <n v="123.1"/>
    <n v="200.5"/>
    <n v="162.80000000000001"/>
    <n v="193.3"/>
    <n v="178.6"/>
    <n v="201.1"/>
    <n v="177.7"/>
    <n v="164.5"/>
    <n v="175.7"/>
    <n v="170.7"/>
    <n v="180.6"/>
    <n v="167.3"/>
    <n v="177.2"/>
    <n v="159.4"/>
    <n v="167.1"/>
    <n v="171.8"/>
    <n v="176"/>
    <n v="168.2"/>
    <n v="174.1"/>
    <n v="2496.8999999999996"/>
    <n v="517.9"/>
    <n v="518.59999999999991"/>
    <n v="353.2"/>
    <n v="159.4"/>
    <n v="167.1"/>
    <n v="171.8"/>
  </r>
  <r>
    <s v="Rural+Urban"/>
    <x v="9"/>
    <x v="12"/>
    <x v="120"/>
    <n v="169.2"/>
    <n v="209"/>
    <n v="190.2"/>
    <n v="173.6"/>
    <n v="188.5"/>
    <n v="158"/>
    <n v="159.9"/>
    <n v="170.8"/>
    <n v="121.8"/>
    <n v="205.2"/>
    <n v="171"/>
    <n v="190.3"/>
    <n v="175.9"/>
    <n v="197.3"/>
    <n v="184"/>
    <n v="177"/>
    <n v="183"/>
    <n v="170.7"/>
    <n v="182"/>
    <n v="172.1"/>
    <n v="181.1"/>
    <n v="163.4"/>
    <n v="168.9"/>
    <n v="174.1"/>
    <n v="175.8"/>
    <n v="172"/>
    <n v="175.7"/>
    <n v="2480.7000000000003"/>
    <n v="544"/>
    <n v="524.79999999999995"/>
    <n v="356.9"/>
    <n v="163.4"/>
    <n v="168.9"/>
    <n v="174.1"/>
  </r>
  <r>
    <s v="Rural"/>
    <x v="10"/>
    <x v="0"/>
    <x v="121"/>
    <n v="174"/>
    <n v="208.3"/>
    <n v="192.9"/>
    <n v="174.3"/>
    <n v="192.6"/>
    <n v="156.30000000000001"/>
    <n v="142.9"/>
    <n v="170.7"/>
    <n v="120.3"/>
    <n v="210.5"/>
    <n v="176.9"/>
    <n v="188.5"/>
    <n v="175"/>
    <n v="196.9"/>
    <n v="189"/>
    <n v="186.3"/>
    <n v="188.6"/>
    <s v="NA"/>
    <n v="183.2"/>
    <n v="177.2"/>
    <n v="184.7"/>
    <n v="168.2"/>
    <n v="171.8"/>
    <n v="177.8"/>
    <n v="178.4"/>
    <n v="176.5"/>
    <n v="177.8"/>
    <n v="2480.1000000000004"/>
    <n v="563.9"/>
    <n v="360.4"/>
    <n v="363.1"/>
    <n v="168.2"/>
    <n v="171.8"/>
    <n v="177.8"/>
  </r>
  <r>
    <s v="Urban"/>
    <x v="10"/>
    <x v="0"/>
    <x v="121"/>
    <n v="173.3"/>
    <n v="215.2"/>
    <n v="197"/>
    <n v="175.2"/>
    <n v="178"/>
    <n v="160.5"/>
    <n v="175.3"/>
    <n v="171.2"/>
    <n v="122.7"/>
    <n v="204.3"/>
    <n v="163.69999999999999"/>
    <n v="194.3"/>
    <n v="179.5"/>
    <n v="201.6"/>
    <n v="178.7"/>
    <n v="165.3"/>
    <n v="176.6"/>
    <n v="172.1"/>
    <n v="180.1"/>
    <n v="168"/>
    <n v="178.5"/>
    <n v="159.5"/>
    <n v="167.8"/>
    <n v="171.8"/>
    <n v="178.8"/>
    <n v="168.9"/>
    <n v="174.9"/>
    <n v="2511.8000000000002"/>
    <n v="520.6"/>
    <n v="520.20000000000005"/>
    <n v="357.3"/>
    <n v="159.5"/>
    <n v="167.8"/>
    <n v="171.8"/>
  </r>
  <r>
    <s v="Rural+Urban"/>
    <x v="10"/>
    <x v="0"/>
    <x v="121"/>
    <n v="173.8"/>
    <n v="210.7"/>
    <n v="194.5"/>
    <n v="174.6"/>
    <n v="187.2"/>
    <n v="158.30000000000001"/>
    <n v="153.9"/>
    <n v="170.9"/>
    <n v="121.1"/>
    <n v="208.4"/>
    <n v="171.4"/>
    <n v="191.2"/>
    <n v="176.7"/>
    <n v="198.2"/>
    <n v="184.9"/>
    <n v="177.6"/>
    <n v="183.8"/>
    <n v="172.1"/>
    <n v="182"/>
    <n v="172.9"/>
    <n v="182.3"/>
    <n v="163.6"/>
    <n v="169.5"/>
    <n v="174.3"/>
    <n v="178.6"/>
    <n v="172.8"/>
    <n v="176.5"/>
    <n v="2490.8999999999996"/>
    <n v="546.29999999999995"/>
    <n v="527"/>
    <n v="360.9"/>
    <n v="163.6"/>
    <n v="169.5"/>
    <n v="174.3"/>
  </r>
  <r>
    <s v="Rural"/>
    <x v="10"/>
    <x v="1"/>
    <x v="122"/>
    <n v="174.2"/>
    <n v="205.2"/>
    <n v="173.9"/>
    <n v="177"/>
    <n v="183.4"/>
    <n v="167.2"/>
    <n v="140.9"/>
    <n v="170.4"/>
    <n v="119.1"/>
    <n v="212.1"/>
    <n v="177.6"/>
    <n v="189.9"/>
    <n v="174.8"/>
    <n v="198.3"/>
    <n v="190"/>
    <n v="187"/>
    <n v="189.6"/>
    <s v="NA"/>
    <n v="181.6"/>
    <n v="178.6"/>
    <n v="186.6"/>
    <n v="169"/>
    <n v="172.8"/>
    <n v="178.5"/>
    <n v="180.7"/>
    <n v="177.9"/>
    <n v="178"/>
    <n v="2464"/>
    <n v="566.6"/>
    <n v="360.2"/>
    <n v="367.29999999999995"/>
    <n v="169"/>
    <n v="172.8"/>
    <n v="178.5"/>
  </r>
  <r>
    <s v="Urban"/>
    <x v="10"/>
    <x v="1"/>
    <x v="122"/>
    <n v="174.7"/>
    <n v="212.2"/>
    <n v="177.2"/>
    <n v="177.9"/>
    <n v="172.2"/>
    <n v="172.1"/>
    <n v="175.8"/>
    <n v="172.2"/>
    <n v="121.9"/>
    <n v="204.8"/>
    <n v="164.9"/>
    <n v="196.6"/>
    <n v="180.7"/>
    <n v="202.7"/>
    <n v="180.3"/>
    <n v="167"/>
    <n v="178.2"/>
    <n v="173.5"/>
    <n v="182.8"/>
    <n v="169.2"/>
    <n v="180.8"/>
    <n v="159.80000000000001"/>
    <n v="168.4"/>
    <n v="172.5"/>
    <n v="181.4"/>
    <n v="170"/>
    <n v="176.3"/>
    <n v="2505.8999999999996"/>
    <n v="525.5"/>
    <n v="525.5"/>
    <n v="362.20000000000005"/>
    <n v="159.80000000000001"/>
    <n v="168.4"/>
    <n v="172.5"/>
  </r>
  <r>
    <s v="Rural+Urban"/>
    <x v="10"/>
    <x v="1"/>
    <x v="122"/>
    <n v="174.4"/>
    <n v="207.7"/>
    <n v="175.2"/>
    <n v="177.3"/>
    <n v="179.3"/>
    <n v="169.5"/>
    <n v="152.69999999999999"/>
    <n v="171"/>
    <n v="120"/>
    <n v="209.7"/>
    <n v="172.3"/>
    <n v="193"/>
    <n v="177"/>
    <n v="199.5"/>
    <n v="186.2"/>
    <n v="178.7"/>
    <n v="185.1"/>
    <n v="173.5"/>
    <n v="182.1"/>
    <n v="174.2"/>
    <n v="184.4"/>
    <n v="164.2"/>
    <n v="170.3"/>
    <n v="175"/>
    <n v="181"/>
    <n v="174.1"/>
    <n v="177.2"/>
    <n v="2478.6"/>
    <n v="550"/>
    <n v="529.79999999999995"/>
    <n v="365.4"/>
    <n v="164.2"/>
    <n v="170.3"/>
    <n v="175"/>
  </r>
  <r>
    <s v="Rural"/>
    <x v="10"/>
    <x v="2"/>
    <x v="123"/>
    <n v="174.3"/>
    <n v="205.2"/>
    <n v="173.9"/>
    <n v="177"/>
    <n v="183.3"/>
    <n v="167.2"/>
    <n v="140.9"/>
    <n v="170.5"/>
    <n v="119.1"/>
    <n v="212.1"/>
    <n v="177.6"/>
    <n v="189.9"/>
    <n v="174.8"/>
    <n v="198.4"/>
    <n v="190"/>
    <n v="187"/>
    <n v="189.6"/>
    <s v="NA"/>
    <n v="181.4"/>
    <n v="178.6"/>
    <n v="186.6"/>
    <n v="169"/>
    <n v="172.8"/>
    <n v="178.5"/>
    <n v="180.7"/>
    <n v="177.9"/>
    <n v="178"/>
    <n v="2464.2000000000003"/>
    <n v="566.6"/>
    <n v="360"/>
    <n v="367.29999999999995"/>
    <n v="169"/>
    <n v="172.8"/>
    <n v="178.5"/>
  </r>
  <r>
    <s v="Urban"/>
    <x v="10"/>
    <x v="2"/>
    <x v="123"/>
    <n v="174.7"/>
    <n v="212.2"/>
    <n v="177.2"/>
    <n v="177.9"/>
    <n v="172.2"/>
    <n v="172.1"/>
    <n v="175.9"/>
    <n v="172.2"/>
    <n v="121.9"/>
    <n v="204.8"/>
    <n v="164.9"/>
    <n v="196.6"/>
    <n v="180.8"/>
    <n v="202.7"/>
    <n v="180.2"/>
    <n v="167"/>
    <n v="178.2"/>
    <n v="173.5"/>
    <n v="182.6"/>
    <n v="169.2"/>
    <n v="180.8"/>
    <n v="159.80000000000001"/>
    <n v="168.4"/>
    <n v="172.5"/>
    <n v="181.5"/>
    <n v="170"/>
    <n v="176.3"/>
    <n v="2506.1"/>
    <n v="525.4"/>
    <n v="525.29999999999995"/>
    <n v="362.3"/>
    <n v="159.80000000000001"/>
    <n v="168.4"/>
    <n v="172.5"/>
  </r>
  <r>
    <s v="Rural+Urban"/>
    <x v="10"/>
    <x v="2"/>
    <x v="123"/>
    <n v="174.4"/>
    <n v="207.7"/>
    <n v="175.2"/>
    <n v="177.3"/>
    <n v="179.2"/>
    <n v="169.5"/>
    <n v="152.80000000000001"/>
    <n v="171.1"/>
    <n v="120"/>
    <n v="209.7"/>
    <n v="172.3"/>
    <n v="193"/>
    <n v="177"/>
    <n v="199.5"/>
    <n v="186.1"/>
    <n v="178.7"/>
    <n v="185.1"/>
    <n v="173.5"/>
    <n v="181.9"/>
    <n v="174.2"/>
    <n v="184.4"/>
    <n v="164.2"/>
    <n v="170.3"/>
    <n v="175"/>
    <n v="181"/>
    <n v="174.1"/>
    <n v="177.2"/>
    <n v="2478.6999999999998"/>
    <n v="549.9"/>
    <n v="529.59999999999991"/>
    <n v="365.4"/>
    <n v="164.2"/>
    <n v="170.3"/>
    <n v="175"/>
  </r>
  <r>
    <s v="Rural"/>
    <x v="10"/>
    <x v="3"/>
    <x v="124"/>
    <n v="173.3"/>
    <n v="206.9"/>
    <n v="167.9"/>
    <n v="178.2"/>
    <n v="178.5"/>
    <n v="173.7"/>
    <n v="142.80000000000001"/>
    <n v="172.8"/>
    <n v="120.4"/>
    <n v="215.5"/>
    <n v="178.2"/>
    <n v="190.5"/>
    <n v="175.5"/>
    <n v="199.5"/>
    <n v="190.7"/>
    <n v="187.3"/>
    <n v="190.2"/>
    <s v="-"/>
    <n v="181.5"/>
    <n v="179.1"/>
    <n v="187.2"/>
    <n v="169.4"/>
    <n v="173.2"/>
    <n v="179.4"/>
    <n v="183.8"/>
    <n v="178.9"/>
    <n v="178.8"/>
    <n v="2473.6999999999998"/>
    <n v="568.20000000000005"/>
    <n v="360.6"/>
    <n v="371"/>
    <n v="169.4"/>
    <n v="173.2"/>
    <n v="179.4"/>
  </r>
  <r>
    <s v="Urban"/>
    <x v="10"/>
    <x v="3"/>
    <x v="124"/>
    <n v="174.8"/>
    <n v="213.7"/>
    <n v="172.4"/>
    <n v="178.8"/>
    <n v="168.7"/>
    <n v="179.2"/>
    <n v="179.9"/>
    <n v="174.7"/>
    <n v="123.1"/>
    <n v="207.8"/>
    <n v="165.5"/>
    <n v="197"/>
    <n v="182.1"/>
    <n v="203.5"/>
    <n v="181"/>
    <n v="167.7"/>
    <n v="178.9"/>
    <n v="175.2"/>
    <n v="182.1"/>
    <n v="169.6"/>
    <n v="181.5"/>
    <n v="160.1"/>
    <n v="168.8"/>
    <n v="174.2"/>
    <n v="184.4"/>
    <n v="170.9"/>
    <n v="177.4"/>
    <n v="2521.2000000000003"/>
    <n v="527.6"/>
    <n v="526.9"/>
    <n v="365.9"/>
    <n v="160.1"/>
    <n v="168.8"/>
    <n v="174.2"/>
  </r>
  <r>
    <s v="Rural+Urban"/>
    <x v="10"/>
    <x v="3"/>
    <x v="124"/>
    <n v="173.8"/>
    <n v="209.3"/>
    <n v="169.6"/>
    <n v="178.4"/>
    <n v="174.9"/>
    <n v="176.3"/>
    <n v="155.4"/>
    <n v="173.4"/>
    <n v="121.3"/>
    <n v="212.9"/>
    <n v="172.9"/>
    <n v="193.5"/>
    <n v="177.9"/>
    <n v="200.6"/>
    <n v="186.9"/>
    <n v="179.2"/>
    <n v="185.7"/>
    <n v="175.2"/>
    <n v="181.7"/>
    <n v="174.6"/>
    <n v="185"/>
    <n v="164.5"/>
    <n v="170.7"/>
    <n v="176.4"/>
    <n v="184"/>
    <n v="175"/>
    <n v="178.1"/>
    <n v="2490.2000000000003"/>
    <n v="551.79999999999995"/>
    <n v="531.5"/>
    <n v="369"/>
    <n v="164.5"/>
    <n v="170.7"/>
    <n v="176.4"/>
  </r>
  <r>
    <s v="Rural"/>
    <x v="10"/>
    <x v="4"/>
    <x v="125"/>
    <n v="173.2"/>
    <n v="211.5"/>
    <n v="171"/>
    <n v="179.6"/>
    <n v="173.3"/>
    <n v="169"/>
    <n v="148.69999999999999"/>
    <n v="174.9"/>
    <n v="121.9"/>
    <n v="221"/>
    <n v="178.7"/>
    <n v="191.1"/>
    <n v="176.8"/>
    <n v="199.9"/>
    <n v="191.2"/>
    <n v="187.9"/>
    <n v="190.8"/>
    <s v="-"/>
    <n v="182.5"/>
    <n v="179.8"/>
    <n v="187.8"/>
    <n v="169.7"/>
    <n v="173.8"/>
    <n v="180.3"/>
    <n v="184.9"/>
    <n v="179.5"/>
    <n v="179.8"/>
    <n v="2490.6000000000008"/>
    <n v="569.90000000000009"/>
    <n v="362.3"/>
    <n v="372.70000000000005"/>
    <n v="169.7"/>
    <n v="173.8"/>
    <n v="180.3"/>
  </r>
  <r>
    <s v="Urban"/>
    <x v="10"/>
    <x v="4"/>
    <x v="125"/>
    <n v="174.7"/>
    <n v="219.4"/>
    <n v="176.7"/>
    <n v="179.4"/>
    <n v="164.4"/>
    <n v="175.8"/>
    <n v="185"/>
    <n v="176.9"/>
    <n v="124.2"/>
    <n v="211.9"/>
    <n v="165.9"/>
    <n v="197.7"/>
    <n v="183.1"/>
    <n v="204.2"/>
    <n v="181.3"/>
    <n v="168.1"/>
    <n v="179.3"/>
    <n v="175.6"/>
    <n v="183.4"/>
    <n v="170.1"/>
    <n v="182.2"/>
    <n v="160.4"/>
    <n v="169.2"/>
    <n v="174.8"/>
    <n v="185.6"/>
    <n v="171.6"/>
    <n v="178.2"/>
    <n v="2539.2999999999997"/>
    <n v="528.70000000000005"/>
    <n v="529.1"/>
    <n v="367.79999999999995"/>
    <n v="160.4"/>
    <n v="169.2"/>
    <n v="174.8"/>
  </r>
  <r>
    <s v="Rural+Urban"/>
    <x v="10"/>
    <x v="4"/>
    <x v="125"/>
    <n v="173.7"/>
    <n v="214.3"/>
    <n v="173.2"/>
    <n v="179.5"/>
    <n v="170"/>
    <n v="172.2"/>
    <n v="161"/>
    <n v="175.6"/>
    <n v="122.7"/>
    <n v="218"/>
    <n v="173.4"/>
    <n v="194.2"/>
    <n v="179.1"/>
    <n v="201"/>
    <n v="187.3"/>
    <n v="179.7"/>
    <n v="186.2"/>
    <n v="175.6"/>
    <n v="182.8"/>
    <n v="175.2"/>
    <n v="185.7"/>
    <n v="164.8"/>
    <n v="171.2"/>
    <n v="177.1"/>
    <n v="185.2"/>
    <n v="175.7"/>
    <n v="179.1"/>
    <n v="2507.9"/>
    <n v="553.20000000000005"/>
    <n v="533.59999999999991"/>
    <n v="370.9"/>
    <n v="164.8"/>
    <n v="171.2"/>
    <n v="17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43387-FF2C-4FF9-BDA7-8C1A811BDBB1}" name="PivotTable8"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colHeaderCaption="May-23">
  <location ref="A6:G18" firstHeaderRow="1" firstDataRow="3" firstDataCol="1"/>
  <pivotFields count="127">
    <pivotField axis="axisCol" showAll="0" defaultSubtotal="0">
      <items count="3">
        <item x="0"/>
        <item x="2"/>
        <item x="1"/>
      </items>
    </pivotField>
    <pivotField axis="axisRow" showAll="0">
      <items count="10">
        <item x="1"/>
        <item x="8"/>
        <item x="6"/>
        <item x="0"/>
        <item x="3"/>
        <item x="2"/>
        <item x="7"/>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0">
    <i>
      <x/>
    </i>
    <i>
      <x v="1"/>
    </i>
    <i>
      <x v="2"/>
    </i>
    <i>
      <x v="3"/>
    </i>
    <i>
      <x v="4"/>
    </i>
    <i>
      <x v="5"/>
    </i>
    <i>
      <x v="6"/>
    </i>
    <i>
      <x v="7"/>
    </i>
    <i>
      <x v="8"/>
    </i>
    <i t="grand">
      <x/>
    </i>
  </rowItems>
  <colFields count="2">
    <field x="0"/>
    <field x="-2"/>
  </colFields>
  <colItems count="6">
    <i>
      <x/>
      <x/>
    </i>
    <i r="1" i="1">
      <x v="1"/>
    </i>
    <i>
      <x v="1"/>
      <x/>
    </i>
    <i r="1" i="1">
      <x v="1"/>
    </i>
    <i>
      <x v="2"/>
      <x/>
    </i>
    <i r="1" i="1">
      <x v="1"/>
    </i>
  </colItems>
  <dataFields count="2">
    <dataField name="Sum" fld="126" baseField="0" baseItem="0"/>
    <dataField name="Contribution %" fld="126" showDataAs="percentOfCol" baseField="0" baseItem="0" numFmtId="10"/>
  </dataFields>
  <formats count="22">
    <format dxfId="50">
      <pivotArea collapsedLevelsAreSubtotals="1" fieldPosition="0">
        <references count="2">
          <reference field="0" count="1" selected="0">
            <x v="0"/>
          </reference>
          <reference field="1" count="1">
            <x v="1"/>
          </reference>
        </references>
      </pivotArea>
    </format>
    <format dxfId="49">
      <pivotArea outline="0" collapsedLevelsAreSubtotals="1" fieldPosition="0"/>
    </format>
    <format dxfId="48">
      <pivotArea outline="0" fieldPosition="0">
        <references count="1">
          <reference field="4294967294" count="1">
            <x v="1"/>
          </reference>
        </references>
      </pivotArea>
    </format>
    <format dxfId="47">
      <pivotArea collapsedLevelsAreSubtotals="1" fieldPosition="0">
        <references count="3">
          <reference field="4294967294" count="1" selected="0">
            <x v="1"/>
          </reference>
          <reference field="0" count="1" selected="0">
            <x v="0"/>
          </reference>
          <reference field="1" count="0"/>
        </references>
      </pivotArea>
    </format>
    <format dxfId="46">
      <pivotArea collapsedLevelsAreSubtotals="1" fieldPosition="0">
        <references count="3">
          <reference field="4294967294" count="1" selected="0">
            <x v="0"/>
          </reference>
          <reference field="0" count="1" selected="0">
            <x v="0"/>
          </reference>
          <reference field="1" count="0"/>
        </references>
      </pivotArea>
    </format>
    <format dxfId="45">
      <pivotArea field="0" grandRow="1" outline="0" collapsedLevelsAreSubtotals="1" axis="axisCol" fieldPosition="0">
        <references count="2">
          <reference field="4294967294" count="1" selected="0">
            <x v="0"/>
          </reference>
          <reference field="0" count="1" selected="0">
            <x v="0"/>
          </reference>
        </references>
      </pivotArea>
    </format>
    <format dxfId="44">
      <pivotArea collapsedLevelsAreSubtotals="1" fieldPosition="0">
        <references count="3">
          <reference field="4294967294" count="1" selected="0">
            <x v="0"/>
          </reference>
          <reference field="0" count="1" selected="0">
            <x v="1"/>
          </reference>
          <reference field="1" count="0"/>
        </references>
      </pivotArea>
    </format>
    <format dxfId="43">
      <pivotArea field="0" grandRow="1" outline="0" collapsedLevelsAreSubtotals="1" axis="axisCol" fieldPosition="0">
        <references count="2">
          <reference field="4294967294" count="1" selected="0">
            <x v="0"/>
          </reference>
          <reference field="0" count="1" selected="0">
            <x v="1"/>
          </reference>
        </references>
      </pivotArea>
    </format>
    <format dxfId="42">
      <pivotArea outline="0" collapsedLevelsAreSubtotals="1" fieldPosition="0">
        <references count="2">
          <reference field="4294967294" count="1" selected="0">
            <x v="1"/>
          </reference>
          <reference field="0" count="1" selected="0">
            <x v="1"/>
          </reference>
        </references>
      </pivotArea>
    </format>
    <format dxfId="41">
      <pivotArea outline="0" collapsedLevelsAreSubtotals="1" fieldPosition="0">
        <references count="2">
          <reference field="4294967294" count="1" selected="0">
            <x v="0"/>
          </reference>
          <reference field="0" count="1" selected="0">
            <x v="2"/>
          </reference>
        </references>
      </pivotArea>
    </format>
    <format dxfId="40">
      <pivotArea outline="0" collapsedLevelsAreSubtotals="1" fieldPosition="0">
        <references count="2">
          <reference field="4294967294" count="1" selected="0">
            <x v="1"/>
          </reference>
          <reference field="0" count="1" selected="0">
            <x v="2"/>
          </reference>
        </references>
      </pivotArea>
    </format>
    <format dxfId="39">
      <pivotArea field="0" grandCol="1" outline="0" collapsedLevelsAreSubtotals="1" axis="axisCol" fieldPosition="0">
        <references count="1">
          <reference field="4294967294" count="1" selected="0">
            <x v="0"/>
          </reference>
        </references>
      </pivotArea>
    </format>
    <format dxfId="38">
      <pivotArea field="0" grandCol="1" outline="0" collapsedLevelsAreSubtotals="1" axis="axisCol" fieldPosition="0">
        <references count="1">
          <reference field="4294967294" count="1" selected="0">
            <x v="1"/>
          </reference>
        </references>
      </pivotArea>
    </format>
    <format dxfId="37">
      <pivotArea field="0" dataOnly="0" labelOnly="1" grandCol="1" outline="0" offset="IV1" axis="axisCol" fieldPosition="0">
        <references count="1">
          <reference field="4294967294" count="1" selected="0">
            <x v="0"/>
          </reference>
        </references>
      </pivotArea>
    </format>
    <format dxfId="36">
      <pivotArea field="0" dataOnly="0" labelOnly="1" grandCol="1" outline="0" offset="IV1" axis="axisCol" fieldPosition="0">
        <references count="1">
          <reference field="4294967294" count="1" selected="0">
            <x v="1"/>
          </reference>
        </references>
      </pivotArea>
    </format>
    <format dxfId="35">
      <pivotArea field="0" grandRow="1" outline="0" collapsedLevelsAreSubtotals="1" axis="axisCol" fieldPosition="0">
        <references count="2">
          <reference field="4294967294" count="1" selected="0">
            <x v="1"/>
          </reference>
          <reference field="0" count="1" selected="0">
            <x v="0"/>
          </reference>
        </references>
      </pivotArea>
    </format>
    <format dxfId="34">
      <pivotArea dataOnly="0" labelOnly="1" fieldPosition="0">
        <references count="1">
          <reference field="1" count="0"/>
        </references>
      </pivotArea>
    </format>
    <format dxfId="33">
      <pivotArea type="origin" dataOnly="0" labelOnly="1" outline="0" offset="A2" fieldPosition="0"/>
    </format>
    <format dxfId="32">
      <pivotArea field="0" type="button" dataOnly="0" labelOnly="1" outline="0" axis="axisCol" fieldPosition="0"/>
    </format>
    <format dxfId="31">
      <pivotArea field="-2" type="button" dataOnly="0" labelOnly="1" outline="0" axis="axisCol" fieldPosition="1"/>
    </format>
    <format dxfId="30">
      <pivotArea type="topRight" dataOnly="0" labelOnly="1" outline="0" fieldPosition="0"/>
    </format>
    <format dxfId="29">
      <pivotArea dataOnly="0" labelOnly="1" fieldPosition="0">
        <references count="1">
          <reference field="0" count="0"/>
        </references>
      </pivotArea>
    </format>
  </formats>
  <conditionalFormats count="4">
    <conditionalFormat priority="11">
      <pivotAreas count="1">
        <pivotArea fieldPosition="0">
          <references count="1">
            <reference field="1" count="0"/>
          </references>
        </pivotArea>
      </pivotAreas>
    </conditionalFormat>
    <conditionalFormat priority="3">
      <pivotAreas count="1">
        <pivotArea type="data" collapsedLevelsAreSubtotals="1" fieldPosition="0">
          <references count="3">
            <reference field="4294967294" count="1" selected="0">
              <x v="1"/>
            </reference>
            <reference field="0" count="1" selected="0">
              <x v="0"/>
            </reference>
            <reference field="1" count="9">
              <x v="0"/>
              <x v="1"/>
              <x v="2"/>
              <x v="3"/>
              <x v="4"/>
              <x v="5"/>
              <x v="6"/>
              <x v="7"/>
              <x v="8"/>
            </reference>
          </references>
        </pivotArea>
      </pivotAreas>
    </conditionalFormat>
    <conditionalFormat priority="2">
      <pivotAreas count="1">
        <pivotArea type="data" collapsedLevelsAreSubtotals="1" fieldPosition="0">
          <references count="3">
            <reference field="4294967294" count="1" selected="0">
              <x v="1"/>
            </reference>
            <reference field="0" count="1" selected="0">
              <x v="1"/>
            </reference>
            <reference field="1" count="9">
              <x v="0"/>
              <x v="1"/>
              <x v="2"/>
              <x v="3"/>
              <x v="4"/>
              <x v="5"/>
              <x v="6"/>
              <x v="7"/>
              <x v="8"/>
            </reference>
          </references>
        </pivotArea>
      </pivotAreas>
    </conditionalFormat>
    <conditionalFormat priority="1">
      <pivotAreas count="1">
        <pivotArea type="data" collapsedLevelsAreSubtotals="1" fieldPosition="0">
          <references count="3">
            <reference field="4294967294" count="1" selected="0">
              <x v="1"/>
            </reference>
            <reference field="0" count="1" selected="0">
              <x v="2"/>
            </reference>
            <reference field="1" count="9">
              <x v="0"/>
              <x v="1"/>
              <x v="2"/>
              <x v="3"/>
              <x v="4"/>
              <x v="5"/>
              <x v="6"/>
              <x v="7"/>
              <x v="8"/>
            </reference>
          </references>
        </pivotArea>
      </pivotAreas>
    </conditionalFormat>
  </conditionalFormats>
  <chartFormats count="60">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1"/>
          </reference>
          <reference field="0" count="1" selected="0">
            <x v="0"/>
          </reference>
        </references>
      </pivotArea>
    </chartFormat>
    <chartFormat chart="8" format="2" series="1">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2">
          <reference field="4294967294" count="1" selected="0">
            <x v="1"/>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2"/>
          </reference>
        </references>
      </pivotArea>
    </chartFormat>
    <chartFormat chart="8" format="5" series="1">
      <pivotArea type="data" outline="0" fieldPosition="0">
        <references count="2">
          <reference field="4294967294" count="1" selected="0">
            <x v="1"/>
          </reference>
          <reference field="0" count="1" selected="0">
            <x v="2"/>
          </reference>
        </references>
      </pivotArea>
    </chartFormat>
    <chartFormat chart="8" format="6">
      <pivotArea type="data" outline="0" fieldPosition="0">
        <references count="3">
          <reference field="4294967294" count="1" selected="0">
            <x v="0"/>
          </reference>
          <reference field="0" count="1" selected="0">
            <x v="0"/>
          </reference>
          <reference field="1" count="1" selected="0">
            <x v="0"/>
          </reference>
        </references>
      </pivotArea>
    </chartFormat>
    <chartFormat chart="8" format="7">
      <pivotArea type="data" outline="0" fieldPosition="0">
        <references count="3">
          <reference field="4294967294" count="1" selected="0">
            <x v="0"/>
          </reference>
          <reference field="0" count="1" selected="0">
            <x v="0"/>
          </reference>
          <reference field="1" count="1" selected="0">
            <x v="1"/>
          </reference>
        </references>
      </pivotArea>
    </chartFormat>
    <chartFormat chart="8" format="8">
      <pivotArea type="data" outline="0" fieldPosition="0">
        <references count="3">
          <reference field="4294967294" count="1" selected="0">
            <x v="0"/>
          </reference>
          <reference field="0" count="1" selected="0">
            <x v="0"/>
          </reference>
          <reference field="1" count="1" selected="0">
            <x v="2"/>
          </reference>
        </references>
      </pivotArea>
    </chartFormat>
    <chartFormat chart="8" format="9">
      <pivotArea type="data" outline="0" fieldPosition="0">
        <references count="3">
          <reference field="4294967294" count="1" selected="0">
            <x v="0"/>
          </reference>
          <reference field="0" count="1" selected="0">
            <x v="0"/>
          </reference>
          <reference field="1" count="1" selected="0">
            <x v="3"/>
          </reference>
        </references>
      </pivotArea>
    </chartFormat>
    <chartFormat chart="8" format="10">
      <pivotArea type="data" outline="0" fieldPosition="0">
        <references count="3">
          <reference field="4294967294" count="1" selected="0">
            <x v="0"/>
          </reference>
          <reference field="0" count="1" selected="0">
            <x v="0"/>
          </reference>
          <reference field="1" count="1" selected="0">
            <x v="4"/>
          </reference>
        </references>
      </pivotArea>
    </chartFormat>
    <chartFormat chart="8" format="11">
      <pivotArea type="data" outline="0" fieldPosition="0">
        <references count="3">
          <reference field="4294967294" count="1" selected="0">
            <x v="0"/>
          </reference>
          <reference field="0" count="1" selected="0">
            <x v="0"/>
          </reference>
          <reference field="1" count="1" selected="0">
            <x v="5"/>
          </reference>
        </references>
      </pivotArea>
    </chartFormat>
    <chartFormat chart="8" format="12">
      <pivotArea type="data" outline="0" fieldPosition="0">
        <references count="3">
          <reference field="4294967294" count="1" selected="0">
            <x v="0"/>
          </reference>
          <reference field="0" count="1" selected="0">
            <x v="0"/>
          </reference>
          <reference field="1" count="1" selected="0">
            <x v="6"/>
          </reference>
        </references>
      </pivotArea>
    </chartFormat>
    <chartFormat chart="8" format="13">
      <pivotArea type="data" outline="0" fieldPosition="0">
        <references count="3">
          <reference field="4294967294" count="1" selected="0">
            <x v="0"/>
          </reference>
          <reference field="0" count="1" selected="0">
            <x v="0"/>
          </reference>
          <reference field="1" count="1" selected="0">
            <x v="7"/>
          </reference>
        </references>
      </pivotArea>
    </chartFormat>
    <chartFormat chart="8" format="14">
      <pivotArea type="data" outline="0" fieldPosition="0">
        <references count="3">
          <reference field="4294967294" count="1" selected="0">
            <x v="0"/>
          </reference>
          <reference field="0" count="1" selected="0">
            <x v="0"/>
          </reference>
          <reference field="1" count="1" selected="0">
            <x v="8"/>
          </reference>
        </references>
      </pivotArea>
    </chartFormat>
    <chartFormat chart="8" format="15">
      <pivotArea type="data" outline="0" fieldPosition="0">
        <references count="3">
          <reference field="4294967294" count="1" selected="0">
            <x v="1"/>
          </reference>
          <reference field="0" count="1" selected="0">
            <x v="0"/>
          </reference>
          <reference field="1" count="1" selected="0">
            <x v="0"/>
          </reference>
        </references>
      </pivotArea>
    </chartFormat>
    <chartFormat chart="8" format="16">
      <pivotArea type="data" outline="0" fieldPosition="0">
        <references count="3">
          <reference field="4294967294" count="1" selected="0">
            <x v="1"/>
          </reference>
          <reference field="0" count="1" selected="0">
            <x v="0"/>
          </reference>
          <reference field="1" count="1" selected="0">
            <x v="1"/>
          </reference>
        </references>
      </pivotArea>
    </chartFormat>
    <chartFormat chart="8" format="17">
      <pivotArea type="data" outline="0" fieldPosition="0">
        <references count="3">
          <reference field="4294967294" count="1" selected="0">
            <x v="1"/>
          </reference>
          <reference field="0" count="1" selected="0">
            <x v="0"/>
          </reference>
          <reference field="1" count="1" selected="0">
            <x v="2"/>
          </reference>
        </references>
      </pivotArea>
    </chartFormat>
    <chartFormat chart="8" format="18">
      <pivotArea type="data" outline="0" fieldPosition="0">
        <references count="3">
          <reference field="4294967294" count="1" selected="0">
            <x v="1"/>
          </reference>
          <reference field="0" count="1" selected="0">
            <x v="0"/>
          </reference>
          <reference field="1" count="1" selected="0">
            <x v="3"/>
          </reference>
        </references>
      </pivotArea>
    </chartFormat>
    <chartFormat chart="8" format="19">
      <pivotArea type="data" outline="0" fieldPosition="0">
        <references count="3">
          <reference field="4294967294" count="1" selected="0">
            <x v="1"/>
          </reference>
          <reference field="0" count="1" selected="0">
            <x v="0"/>
          </reference>
          <reference field="1" count="1" selected="0">
            <x v="4"/>
          </reference>
        </references>
      </pivotArea>
    </chartFormat>
    <chartFormat chart="8" format="20">
      <pivotArea type="data" outline="0" fieldPosition="0">
        <references count="3">
          <reference field="4294967294" count="1" selected="0">
            <x v="1"/>
          </reference>
          <reference field="0" count="1" selected="0">
            <x v="0"/>
          </reference>
          <reference field="1" count="1" selected="0">
            <x v="5"/>
          </reference>
        </references>
      </pivotArea>
    </chartFormat>
    <chartFormat chart="8" format="21">
      <pivotArea type="data" outline="0" fieldPosition="0">
        <references count="3">
          <reference field="4294967294" count="1" selected="0">
            <x v="1"/>
          </reference>
          <reference field="0" count="1" selected="0">
            <x v="0"/>
          </reference>
          <reference field="1" count="1" selected="0">
            <x v="6"/>
          </reference>
        </references>
      </pivotArea>
    </chartFormat>
    <chartFormat chart="8" format="22">
      <pivotArea type="data" outline="0" fieldPosition="0">
        <references count="3">
          <reference field="4294967294" count="1" selected="0">
            <x v="1"/>
          </reference>
          <reference field="0" count="1" selected="0">
            <x v="0"/>
          </reference>
          <reference field="1" count="1" selected="0">
            <x v="7"/>
          </reference>
        </references>
      </pivotArea>
    </chartFormat>
    <chartFormat chart="8" format="23">
      <pivotArea type="data" outline="0" fieldPosition="0">
        <references count="3">
          <reference field="4294967294" count="1" selected="0">
            <x v="1"/>
          </reference>
          <reference field="0" count="1" selected="0">
            <x v="0"/>
          </reference>
          <reference field="1" count="1" selected="0">
            <x v="8"/>
          </reference>
        </references>
      </pivotArea>
    </chartFormat>
    <chartFormat chart="8" format="24">
      <pivotArea type="data" outline="0" fieldPosition="0">
        <references count="3">
          <reference field="4294967294" count="1" selected="0">
            <x v="0"/>
          </reference>
          <reference field="0" count="1" selected="0">
            <x v="1"/>
          </reference>
          <reference field="1" count="1" selected="0">
            <x v="0"/>
          </reference>
        </references>
      </pivotArea>
    </chartFormat>
    <chartFormat chart="8" format="25">
      <pivotArea type="data" outline="0" fieldPosition="0">
        <references count="3">
          <reference field="4294967294" count="1" selected="0">
            <x v="0"/>
          </reference>
          <reference field="0" count="1" selected="0">
            <x v="1"/>
          </reference>
          <reference field="1" count="1" selected="0">
            <x v="1"/>
          </reference>
        </references>
      </pivotArea>
    </chartFormat>
    <chartFormat chart="8" format="26">
      <pivotArea type="data" outline="0" fieldPosition="0">
        <references count="3">
          <reference field="4294967294" count="1" selected="0">
            <x v="0"/>
          </reference>
          <reference field="0" count="1" selected="0">
            <x v="1"/>
          </reference>
          <reference field="1" count="1" selected="0">
            <x v="2"/>
          </reference>
        </references>
      </pivotArea>
    </chartFormat>
    <chartFormat chart="8" format="27">
      <pivotArea type="data" outline="0" fieldPosition="0">
        <references count="3">
          <reference field="4294967294" count="1" selected="0">
            <x v="0"/>
          </reference>
          <reference field="0" count="1" selected="0">
            <x v="1"/>
          </reference>
          <reference field="1" count="1" selected="0">
            <x v="3"/>
          </reference>
        </references>
      </pivotArea>
    </chartFormat>
    <chartFormat chart="8" format="28">
      <pivotArea type="data" outline="0" fieldPosition="0">
        <references count="3">
          <reference field="4294967294" count="1" selected="0">
            <x v="0"/>
          </reference>
          <reference field="0" count="1" selected="0">
            <x v="1"/>
          </reference>
          <reference field="1" count="1" selected="0">
            <x v="4"/>
          </reference>
        </references>
      </pivotArea>
    </chartFormat>
    <chartFormat chart="8" format="29">
      <pivotArea type="data" outline="0" fieldPosition="0">
        <references count="3">
          <reference field="4294967294" count="1" selected="0">
            <x v="0"/>
          </reference>
          <reference field="0" count="1" selected="0">
            <x v="1"/>
          </reference>
          <reference field="1" count="1" selected="0">
            <x v="5"/>
          </reference>
        </references>
      </pivotArea>
    </chartFormat>
    <chartFormat chart="8" format="30">
      <pivotArea type="data" outline="0" fieldPosition="0">
        <references count="3">
          <reference field="4294967294" count="1" selected="0">
            <x v="0"/>
          </reference>
          <reference field="0" count="1" selected="0">
            <x v="1"/>
          </reference>
          <reference field="1" count="1" selected="0">
            <x v="6"/>
          </reference>
        </references>
      </pivotArea>
    </chartFormat>
    <chartFormat chart="8" format="31">
      <pivotArea type="data" outline="0" fieldPosition="0">
        <references count="3">
          <reference field="4294967294" count="1" selected="0">
            <x v="0"/>
          </reference>
          <reference field="0" count="1" selected="0">
            <x v="1"/>
          </reference>
          <reference field="1" count="1" selected="0">
            <x v="7"/>
          </reference>
        </references>
      </pivotArea>
    </chartFormat>
    <chartFormat chart="8" format="32">
      <pivotArea type="data" outline="0" fieldPosition="0">
        <references count="3">
          <reference field="4294967294" count="1" selected="0">
            <x v="0"/>
          </reference>
          <reference field="0" count="1" selected="0">
            <x v="1"/>
          </reference>
          <reference field="1" count="1" selected="0">
            <x v="8"/>
          </reference>
        </references>
      </pivotArea>
    </chartFormat>
    <chartFormat chart="8" format="33">
      <pivotArea type="data" outline="0" fieldPosition="0">
        <references count="3">
          <reference field="4294967294" count="1" selected="0">
            <x v="1"/>
          </reference>
          <reference field="0" count="1" selected="0">
            <x v="1"/>
          </reference>
          <reference field="1" count="1" selected="0">
            <x v="0"/>
          </reference>
        </references>
      </pivotArea>
    </chartFormat>
    <chartFormat chart="8" format="34">
      <pivotArea type="data" outline="0" fieldPosition="0">
        <references count="3">
          <reference field="4294967294" count="1" selected="0">
            <x v="1"/>
          </reference>
          <reference field="0" count="1" selected="0">
            <x v="1"/>
          </reference>
          <reference field="1" count="1" selected="0">
            <x v="1"/>
          </reference>
        </references>
      </pivotArea>
    </chartFormat>
    <chartFormat chart="8" format="35">
      <pivotArea type="data" outline="0" fieldPosition="0">
        <references count="3">
          <reference field="4294967294" count="1" selected="0">
            <x v="1"/>
          </reference>
          <reference field="0" count="1" selected="0">
            <x v="1"/>
          </reference>
          <reference field="1" count="1" selected="0">
            <x v="2"/>
          </reference>
        </references>
      </pivotArea>
    </chartFormat>
    <chartFormat chart="8" format="36">
      <pivotArea type="data" outline="0" fieldPosition="0">
        <references count="3">
          <reference field="4294967294" count="1" selected="0">
            <x v="1"/>
          </reference>
          <reference field="0" count="1" selected="0">
            <x v="1"/>
          </reference>
          <reference field="1" count="1" selected="0">
            <x v="3"/>
          </reference>
        </references>
      </pivotArea>
    </chartFormat>
    <chartFormat chart="8" format="37">
      <pivotArea type="data" outline="0" fieldPosition="0">
        <references count="3">
          <reference field="4294967294" count="1" selected="0">
            <x v="1"/>
          </reference>
          <reference field="0" count="1" selected="0">
            <x v="1"/>
          </reference>
          <reference field="1" count="1" selected="0">
            <x v="4"/>
          </reference>
        </references>
      </pivotArea>
    </chartFormat>
    <chartFormat chart="8" format="38">
      <pivotArea type="data" outline="0" fieldPosition="0">
        <references count="3">
          <reference field="4294967294" count="1" selected="0">
            <x v="1"/>
          </reference>
          <reference field="0" count="1" selected="0">
            <x v="1"/>
          </reference>
          <reference field="1" count="1" selected="0">
            <x v="5"/>
          </reference>
        </references>
      </pivotArea>
    </chartFormat>
    <chartFormat chart="8" format="39">
      <pivotArea type="data" outline="0" fieldPosition="0">
        <references count="3">
          <reference field="4294967294" count="1" selected="0">
            <x v="1"/>
          </reference>
          <reference field="0" count="1" selected="0">
            <x v="1"/>
          </reference>
          <reference field="1" count="1" selected="0">
            <x v="6"/>
          </reference>
        </references>
      </pivotArea>
    </chartFormat>
    <chartFormat chart="8" format="40">
      <pivotArea type="data" outline="0" fieldPosition="0">
        <references count="3">
          <reference field="4294967294" count="1" selected="0">
            <x v="1"/>
          </reference>
          <reference field="0" count="1" selected="0">
            <x v="1"/>
          </reference>
          <reference field="1" count="1" selected="0">
            <x v="7"/>
          </reference>
        </references>
      </pivotArea>
    </chartFormat>
    <chartFormat chart="8" format="41">
      <pivotArea type="data" outline="0" fieldPosition="0">
        <references count="3">
          <reference field="4294967294" count="1" selected="0">
            <x v="1"/>
          </reference>
          <reference field="0" count="1" selected="0">
            <x v="1"/>
          </reference>
          <reference field="1" count="1" selected="0">
            <x v="8"/>
          </reference>
        </references>
      </pivotArea>
    </chartFormat>
    <chartFormat chart="8" format="42">
      <pivotArea type="data" outline="0" fieldPosition="0">
        <references count="3">
          <reference field="4294967294" count="1" selected="0">
            <x v="0"/>
          </reference>
          <reference field="0" count="1" selected="0">
            <x v="2"/>
          </reference>
          <reference field="1" count="1" selected="0">
            <x v="0"/>
          </reference>
        </references>
      </pivotArea>
    </chartFormat>
    <chartFormat chart="8" format="43">
      <pivotArea type="data" outline="0" fieldPosition="0">
        <references count="3">
          <reference field="4294967294" count="1" selected="0">
            <x v="0"/>
          </reference>
          <reference field="0" count="1" selected="0">
            <x v="2"/>
          </reference>
          <reference field="1" count="1" selected="0">
            <x v="1"/>
          </reference>
        </references>
      </pivotArea>
    </chartFormat>
    <chartFormat chart="8" format="44">
      <pivotArea type="data" outline="0" fieldPosition="0">
        <references count="3">
          <reference field="4294967294" count="1" selected="0">
            <x v="0"/>
          </reference>
          <reference field="0" count="1" selected="0">
            <x v="2"/>
          </reference>
          <reference field="1" count="1" selected="0">
            <x v="2"/>
          </reference>
        </references>
      </pivotArea>
    </chartFormat>
    <chartFormat chart="8" format="45">
      <pivotArea type="data" outline="0" fieldPosition="0">
        <references count="3">
          <reference field="4294967294" count="1" selected="0">
            <x v="0"/>
          </reference>
          <reference field="0" count="1" selected="0">
            <x v="2"/>
          </reference>
          <reference field="1" count="1" selected="0">
            <x v="3"/>
          </reference>
        </references>
      </pivotArea>
    </chartFormat>
    <chartFormat chart="8" format="46">
      <pivotArea type="data" outline="0" fieldPosition="0">
        <references count="3">
          <reference field="4294967294" count="1" selected="0">
            <x v="0"/>
          </reference>
          <reference field="0" count="1" selected="0">
            <x v="2"/>
          </reference>
          <reference field="1" count="1" selected="0">
            <x v="4"/>
          </reference>
        </references>
      </pivotArea>
    </chartFormat>
    <chartFormat chart="8" format="47">
      <pivotArea type="data" outline="0" fieldPosition="0">
        <references count="3">
          <reference field="4294967294" count="1" selected="0">
            <x v="0"/>
          </reference>
          <reference field="0" count="1" selected="0">
            <x v="2"/>
          </reference>
          <reference field="1" count="1" selected="0">
            <x v="5"/>
          </reference>
        </references>
      </pivotArea>
    </chartFormat>
    <chartFormat chart="8" format="48">
      <pivotArea type="data" outline="0" fieldPosition="0">
        <references count="3">
          <reference field="4294967294" count="1" selected="0">
            <x v="0"/>
          </reference>
          <reference field="0" count="1" selected="0">
            <x v="2"/>
          </reference>
          <reference field="1" count="1" selected="0">
            <x v="6"/>
          </reference>
        </references>
      </pivotArea>
    </chartFormat>
    <chartFormat chart="8" format="49">
      <pivotArea type="data" outline="0" fieldPosition="0">
        <references count="3">
          <reference field="4294967294" count="1" selected="0">
            <x v="0"/>
          </reference>
          <reference field="0" count="1" selected="0">
            <x v="2"/>
          </reference>
          <reference field="1" count="1" selected="0">
            <x v="7"/>
          </reference>
        </references>
      </pivotArea>
    </chartFormat>
    <chartFormat chart="8" format="50">
      <pivotArea type="data" outline="0" fieldPosition="0">
        <references count="3">
          <reference field="4294967294" count="1" selected="0">
            <x v="0"/>
          </reference>
          <reference field="0" count="1" selected="0">
            <x v="2"/>
          </reference>
          <reference field="1" count="1" selected="0">
            <x v="8"/>
          </reference>
        </references>
      </pivotArea>
    </chartFormat>
    <chartFormat chart="8" format="51">
      <pivotArea type="data" outline="0" fieldPosition="0">
        <references count="3">
          <reference field="4294967294" count="1" selected="0">
            <x v="1"/>
          </reference>
          <reference field="0" count="1" selected="0">
            <x v="2"/>
          </reference>
          <reference field="1" count="1" selected="0">
            <x v="0"/>
          </reference>
        </references>
      </pivotArea>
    </chartFormat>
    <chartFormat chart="8" format="52">
      <pivotArea type="data" outline="0" fieldPosition="0">
        <references count="3">
          <reference field="4294967294" count="1" selected="0">
            <x v="1"/>
          </reference>
          <reference field="0" count="1" selected="0">
            <x v="2"/>
          </reference>
          <reference field="1" count="1" selected="0">
            <x v="1"/>
          </reference>
        </references>
      </pivotArea>
    </chartFormat>
    <chartFormat chart="8" format="53">
      <pivotArea type="data" outline="0" fieldPosition="0">
        <references count="3">
          <reference field="4294967294" count="1" selected="0">
            <x v="1"/>
          </reference>
          <reference field="0" count="1" selected="0">
            <x v="2"/>
          </reference>
          <reference field="1" count="1" selected="0">
            <x v="2"/>
          </reference>
        </references>
      </pivotArea>
    </chartFormat>
    <chartFormat chart="8" format="54">
      <pivotArea type="data" outline="0" fieldPosition="0">
        <references count="3">
          <reference field="4294967294" count="1" selected="0">
            <x v="1"/>
          </reference>
          <reference field="0" count="1" selected="0">
            <x v="2"/>
          </reference>
          <reference field="1" count="1" selected="0">
            <x v="3"/>
          </reference>
        </references>
      </pivotArea>
    </chartFormat>
    <chartFormat chart="8" format="55">
      <pivotArea type="data" outline="0" fieldPosition="0">
        <references count="3">
          <reference field="4294967294" count="1" selected="0">
            <x v="1"/>
          </reference>
          <reference field="0" count="1" selected="0">
            <x v="2"/>
          </reference>
          <reference field="1" count="1" selected="0">
            <x v="4"/>
          </reference>
        </references>
      </pivotArea>
    </chartFormat>
    <chartFormat chart="8" format="56">
      <pivotArea type="data" outline="0" fieldPosition="0">
        <references count="3">
          <reference field="4294967294" count="1" selected="0">
            <x v="1"/>
          </reference>
          <reference field="0" count="1" selected="0">
            <x v="2"/>
          </reference>
          <reference field="1" count="1" selected="0">
            <x v="5"/>
          </reference>
        </references>
      </pivotArea>
    </chartFormat>
    <chartFormat chart="8" format="57">
      <pivotArea type="data" outline="0" fieldPosition="0">
        <references count="3">
          <reference field="4294967294" count="1" selected="0">
            <x v="1"/>
          </reference>
          <reference field="0" count="1" selected="0">
            <x v="2"/>
          </reference>
          <reference field="1" count="1" selected="0">
            <x v="6"/>
          </reference>
        </references>
      </pivotArea>
    </chartFormat>
    <chartFormat chart="8" format="58">
      <pivotArea type="data" outline="0" fieldPosition="0">
        <references count="3">
          <reference field="4294967294" count="1" selected="0">
            <x v="1"/>
          </reference>
          <reference field="0" count="1" selected="0">
            <x v="2"/>
          </reference>
          <reference field="1" count="1" selected="0">
            <x v="7"/>
          </reference>
        </references>
      </pivotArea>
    </chartFormat>
    <chartFormat chart="8" format="59">
      <pivotArea type="data" outline="0" fieldPosition="0">
        <references count="3">
          <reference field="4294967294" count="1" selected="0">
            <x v="1"/>
          </reference>
          <reference field="0" count="1" selected="0">
            <x v="2"/>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E72434-1B91-49CA-8946-B21126F3CE54}" name="PivotTable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2:O44" firstHeaderRow="0" firstDataRow="1" firstDataCol="1"/>
  <pivotFields count="38">
    <pivotField showAll="0"/>
    <pivotField showAll="0"/>
    <pivotField showAll="0"/>
    <pivotField axis="axisRow" showAll="0">
      <items count="127">
        <item h="1" x="3"/>
        <item h="1" x="7"/>
        <item h="1" x="12"/>
        <item h="1" x="1"/>
        <item h="1" x="0"/>
        <item h="1" x="6"/>
        <item h="1" x="5"/>
        <item h="1" x="2"/>
        <item h="1" x="4"/>
        <item h="1" x="11"/>
        <item h="1" x="10"/>
        <item h="1" x="9"/>
        <item h="1" x="8"/>
        <item h="1" x="17"/>
        <item h="1" x="21"/>
        <item h="1" x="25"/>
        <item h="1" x="14"/>
        <item h="1" x="13"/>
        <item h="1" x="20"/>
        <item h="1" x="19"/>
        <item h="1" x="15"/>
        <item h="1" x="16"/>
        <item h="1" x="18"/>
        <item h="1" x="24"/>
        <item h="1" x="23"/>
        <item h="1" x="22"/>
        <item h="1" x="29"/>
        <item h="1" x="33"/>
        <item h="1" x="37"/>
        <item h="1" x="27"/>
        <item h="1" x="26"/>
        <item h="1" x="32"/>
        <item h="1" x="31"/>
        <item h="1" x="28"/>
        <item h="1" x="30"/>
        <item h="1" x="36"/>
        <item h="1" x="35"/>
        <item h="1" x="34"/>
        <item h="1" x="41"/>
        <item h="1" x="45"/>
        <item h="1" x="49"/>
        <item h="1" x="39"/>
        <item h="1" x="38"/>
        <item h="1" x="44"/>
        <item h="1" x="43"/>
        <item h="1" x="40"/>
        <item h="1" x="42"/>
        <item h="1" x="48"/>
        <item h="1" x="47"/>
        <item h="1" x="46"/>
        <item h="1" x="53"/>
        <item h="1" x="57"/>
        <item h="1" x="61"/>
        <item h="1" x="51"/>
        <item h="1" x="50"/>
        <item h="1" x="56"/>
        <item h="1" x="55"/>
        <item h="1" x="52"/>
        <item h="1" x="54"/>
        <item h="1" x="60"/>
        <item h="1" x="59"/>
        <item h="1" x="58"/>
        <item h="1" x="65"/>
        <item h="1" x="69"/>
        <item h="1" x="73"/>
        <item h="1" x="63"/>
        <item h="1" x="62"/>
        <item h="1" x="68"/>
        <item h="1" x="67"/>
        <item h="1" x="64"/>
        <item h="1" x="66"/>
        <item h="1" x="72"/>
        <item h="1" x="71"/>
        <item h="1" x="70"/>
        <item h="1" x="80"/>
        <item h="1" x="84"/>
        <item h="1" x="75"/>
        <item h="1" x="74"/>
        <item h="1" x="79"/>
        <item h="1" x="78"/>
        <item h="1" x="76"/>
        <item h="1" x="77"/>
        <item h="1" x="83"/>
        <item h="1" x="82"/>
        <item h="1" x="81"/>
        <item h="1" x="88"/>
        <item h="1" x="92"/>
        <item h="1" x="96"/>
        <item h="1" x="86"/>
        <item h="1" x="85"/>
        <item h="1" x="91"/>
        <item h="1" x="90"/>
        <item h="1" x="87"/>
        <item h="1" x="89"/>
        <item h="1" x="95"/>
        <item h="1" x="94"/>
        <item h="1" x="93"/>
        <item h="1" x="100"/>
        <item h="1" x="104"/>
        <item h="1" x="108"/>
        <item h="1" x="98"/>
        <item h="1" x="97"/>
        <item h="1" x="103"/>
        <item h="1" x="102"/>
        <item h="1" x="99"/>
        <item h="1" x="101"/>
        <item h="1" x="107"/>
        <item h="1" x="106"/>
        <item h="1" x="105"/>
        <item h="1" x="112"/>
        <item h="1" x="116"/>
        <item h="1" x="120"/>
        <item h="1" x="110"/>
        <item h="1" x="109"/>
        <item h="1" x="115"/>
        <item x="114"/>
        <item h="1" x="111"/>
        <item h="1" x="113"/>
        <item h="1" x="119"/>
        <item h="1" x="118"/>
        <item h="1" x="117"/>
        <item h="1" x="124"/>
        <item h="1" x="122"/>
        <item h="1" x="121"/>
        <item h="1" x="123"/>
        <item x="12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15"/>
    </i>
    <i>
      <x v="125"/>
    </i>
  </rowItems>
  <colFields count="1">
    <field x="-2"/>
  </colFields>
  <colItems count="14">
    <i>
      <x/>
    </i>
    <i i="1">
      <x v="1"/>
    </i>
    <i i="2">
      <x v="2"/>
    </i>
    <i i="3">
      <x v="3"/>
    </i>
    <i i="4">
      <x v="4"/>
    </i>
    <i i="5">
      <x v="5"/>
    </i>
    <i i="6">
      <x v="6"/>
    </i>
    <i i="7">
      <x v="7"/>
    </i>
    <i i="8">
      <x v="8"/>
    </i>
    <i i="9">
      <x v="9"/>
    </i>
    <i i="10">
      <x v="10"/>
    </i>
    <i i="11">
      <x v="11"/>
    </i>
    <i i="12">
      <x v="12"/>
    </i>
    <i i="13">
      <x v="13"/>
    </i>
  </colItems>
  <dataFields count="14">
    <dataField name="Sum of Cereals and products" fld="4" baseField="0" baseItem="0"/>
    <dataField name="Sum of Meat and fish" fld="5" baseField="0" baseItem="0"/>
    <dataField name="Sum of Egg" fld="6" baseField="0" baseItem="0"/>
    <dataField name="Sum of Milk and products" fld="7" baseField="0" baseItem="0"/>
    <dataField name="Sum of Oils and fats" fld="8" baseField="0" baseItem="0"/>
    <dataField name="Sum of Fruits" fld="9" baseField="0" baseItem="0"/>
    <dataField name="Sum of Vegetables" fld="10" baseField="0" baseItem="0"/>
    <dataField name="Sum of Pulses and products" fld="11" baseField="0" baseItem="0"/>
    <dataField name="Sum of Sugar and Confectionery" fld="12" baseField="0" baseItem="0"/>
    <dataField name="Sum of Spices" fld="13" baseField="0" baseItem="0"/>
    <dataField name="Sum of Non-alcoholic beverages" fld="14" baseField="0" baseItem="0"/>
    <dataField name="Sum of Prepared meals, snacks, sweets etc." fld="15" baseField="0" baseItem="0"/>
    <dataField name="Sum of Food and beverages" fld="16" baseField="0" baseItem="0"/>
    <dataField name="Sum of Pan, tobacco and intoxicants" fld="17" baseField="0" baseItem="0"/>
  </dataFields>
  <formats count="12">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outline="0" fieldPosition="0">
        <references count="1">
          <reference field="4294967294" count="14">
            <x v="0"/>
            <x v="1"/>
            <x v="2"/>
            <x v="3"/>
            <x v="4"/>
            <x v="5"/>
            <x v="6"/>
            <x v="7"/>
            <x v="8"/>
            <x v="9"/>
            <x v="10"/>
            <x v="11"/>
            <x v="12"/>
            <x v="13"/>
          </reference>
        </references>
      </pivotArea>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outline="0" fieldPosition="0">
        <references count="1">
          <reference field="4294967294" count="14">
            <x v="0"/>
            <x v="1"/>
            <x v="2"/>
            <x v="3"/>
            <x v="4"/>
            <x v="5"/>
            <x v="6"/>
            <x v="7"/>
            <x v="8"/>
            <x v="9"/>
            <x v="10"/>
            <x v="11"/>
            <x v="12"/>
            <x v="13"/>
          </reference>
        </references>
      </pivotArea>
    </format>
    <format dxfId="1">
      <pivotArea field="3" type="button" dataOnly="0" labelOnly="1" outline="0" axis="axisRow" fieldPosition="0"/>
    </format>
    <format dxfId="0">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D5202-5279-4C60-9ED3-19F94B7D096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24" firstHeaderRow="1" firstDataRow="1" firstDataCol="1"/>
  <pivotFields count="38">
    <pivotField showAll="0"/>
    <pivotField axis="axisRow" multipleItemSelectionAllowed="1" showAll="0">
      <items count="12">
        <item h="1" sd="0" x="0"/>
        <item h="1" sd="0" x="1"/>
        <item h="1" x="2"/>
        <item h="1" x="3"/>
        <item h="1" x="4"/>
        <item h="1" x="5"/>
        <item h="1" x="6"/>
        <item h="1" x="7"/>
        <item h="1" x="8"/>
        <item x="9"/>
        <item x="10"/>
        <item t="default"/>
      </items>
    </pivotField>
    <pivotField axis="axisRow" showAll="0">
      <items count="15">
        <item x="0"/>
        <item x="1"/>
        <item x="2"/>
        <item x="3"/>
        <item x="4"/>
        <item x="5"/>
        <item x="6"/>
        <item x="7"/>
        <item x="8"/>
        <item x="9"/>
        <item x="11"/>
        <item x="12"/>
        <item x="13"/>
        <item x="10"/>
        <item t="default"/>
      </items>
    </pivotField>
    <pivotField showAll="0" nonAutoSortDefault="1">
      <items count="127">
        <item x="3"/>
        <item x="7"/>
        <item x="12"/>
        <item x="1"/>
        <item x="0"/>
        <item x="6"/>
        <item x="5"/>
        <item x="2"/>
        <item x="4"/>
        <item x="11"/>
        <item x="10"/>
        <item x="9"/>
        <item x="8"/>
        <item x="17"/>
        <item x="21"/>
        <item x="25"/>
        <item x="14"/>
        <item x="13"/>
        <item x="20"/>
        <item x="19"/>
        <item x="15"/>
        <item x="16"/>
        <item x="18"/>
        <item x="24"/>
        <item x="23"/>
        <item x="22"/>
        <item x="29"/>
        <item x="33"/>
        <item x="37"/>
        <item x="27"/>
        <item x="26"/>
        <item x="32"/>
        <item x="31"/>
        <item x="28"/>
        <item x="30"/>
        <item x="36"/>
        <item x="35"/>
        <item x="34"/>
        <item x="41"/>
        <item x="45"/>
        <item x="49"/>
        <item x="39"/>
        <item x="38"/>
        <item x="44"/>
        <item x="43"/>
        <item x="40"/>
        <item x="42"/>
        <item x="48"/>
        <item x="47"/>
        <item x="46"/>
        <item x="53"/>
        <item x="57"/>
        <item x="61"/>
        <item x="51"/>
        <item x="50"/>
        <item x="56"/>
        <item x="55"/>
        <item x="52"/>
        <item x="54"/>
        <item x="60"/>
        <item x="59"/>
        <item x="58"/>
        <item x="65"/>
        <item x="69"/>
        <item x="73"/>
        <item x="63"/>
        <item x="62"/>
        <item x="68"/>
        <item x="67"/>
        <item x="64"/>
        <item x="66"/>
        <item x="72"/>
        <item x="71"/>
        <item x="70"/>
        <item x="80"/>
        <item x="84"/>
        <item x="75"/>
        <item x="74"/>
        <item x="79"/>
        <item x="78"/>
        <item x="76"/>
        <item x="77"/>
        <item x="83"/>
        <item x="82"/>
        <item x="81"/>
        <item x="88"/>
        <item x="92"/>
        <item x="96"/>
        <item x="86"/>
        <item x="85"/>
        <item x="91"/>
        <item x="90"/>
        <item x="87"/>
        <item x="89"/>
        <item x="95"/>
        <item x="94"/>
        <item x="93"/>
        <item x="100"/>
        <item x="104"/>
        <item x="108"/>
        <item x="98"/>
        <item x="97"/>
        <item x="103"/>
        <item x="102"/>
        <item x="99"/>
        <item x="101"/>
        <item x="107"/>
        <item x="106"/>
        <item x="105"/>
        <item x="112"/>
        <item x="116"/>
        <item x="120"/>
        <item x="110"/>
        <item x="109"/>
        <item x="115"/>
        <item x="114"/>
        <item x="111"/>
        <item x="113"/>
        <item x="119"/>
        <item x="118"/>
        <item x="117"/>
        <item x="124"/>
        <item x="122"/>
        <item x="121"/>
        <item x="123"/>
        <item x="1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Items count="1">
    <i/>
  </colItems>
  <dataFields count="1">
    <dataField name="Sum of Food" fld="31" baseField="0" baseItem="0"/>
  </dataFields>
  <formats count="17">
    <format dxfId="28">
      <pivotArea dataOnly="0" labelOnly="1" grandRow="1" outline="0"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fieldPosition="0">
        <references count="2">
          <reference field="1" count="1" selected="0">
            <x v="9"/>
          </reference>
          <reference field="2" count="12">
            <x v="0"/>
            <x v="1"/>
            <x v="2"/>
            <x v="3"/>
            <x v="4"/>
            <x v="5"/>
            <x v="6"/>
            <x v="7"/>
            <x v="8"/>
            <x v="9"/>
            <x v="10"/>
            <x v="11"/>
          </reference>
        </references>
      </pivotArea>
    </format>
    <format dxfId="21">
      <pivotArea dataOnly="0" labelOnly="1" fieldPosition="0">
        <references count="2">
          <reference field="1" count="1" selected="0">
            <x v="10"/>
          </reference>
          <reference field="2" count="5">
            <x v="0"/>
            <x v="1"/>
            <x v="2"/>
            <x v="3"/>
            <x v="4"/>
          </reference>
        </references>
      </pivotArea>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fieldPosition="0">
        <references count="2">
          <reference field="1" count="1" selected="0">
            <x v="9"/>
          </reference>
          <reference field="2" count="12">
            <x v="0"/>
            <x v="1"/>
            <x v="2"/>
            <x v="3"/>
            <x v="4"/>
            <x v="5"/>
            <x v="6"/>
            <x v="7"/>
            <x v="8"/>
            <x v="9"/>
            <x v="10"/>
            <x v="11"/>
          </reference>
        </references>
      </pivotArea>
    </format>
    <format dxfId="13">
      <pivotArea dataOnly="0" labelOnly="1" fieldPosition="0">
        <references count="2">
          <reference field="1" count="1" selected="0">
            <x v="10"/>
          </reference>
          <reference field="2" count="5">
            <x v="0"/>
            <x v="1"/>
            <x v="2"/>
            <x v="3"/>
            <x v="4"/>
          </reference>
        </references>
      </pivotArea>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3C7C5-5FC2-4E0A-AA99-D2A4410BA02B}">
  <dimension ref="A1:AD373"/>
  <sheetViews>
    <sheetView tabSelected="1" workbookViewId="0">
      <selection activeCell="D2" sqref="D2"/>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18</v>
      </c>
      <c r="S1" t="s">
        <v>19</v>
      </c>
      <c r="T1" t="s">
        <v>20</v>
      </c>
      <c r="U1" t="s">
        <v>22</v>
      </c>
      <c r="V1" t="s">
        <v>23</v>
      </c>
      <c r="W1" t="s">
        <v>24</v>
      </c>
      <c r="X1" t="s">
        <v>26</v>
      </c>
      <c r="Y1" t="s">
        <v>27</v>
      </c>
      <c r="Z1" t="s">
        <v>28</v>
      </c>
      <c r="AA1" t="s">
        <v>29</v>
      </c>
      <c r="AB1" t="s">
        <v>30</v>
      </c>
      <c r="AC1" t="s">
        <v>31</v>
      </c>
      <c r="AD1" t="s">
        <v>32</v>
      </c>
    </row>
    <row r="2" spans="1:30" x14ac:dyDescent="0.3">
      <c r="A2" t="s">
        <v>33</v>
      </c>
      <c r="B2">
        <v>2013</v>
      </c>
      <c r="C2" t="s">
        <v>42</v>
      </c>
      <c r="D2">
        <v>107.5</v>
      </c>
      <c r="E2">
        <v>106.3</v>
      </c>
      <c r="F2">
        <v>108.1</v>
      </c>
      <c r="G2">
        <v>104.9</v>
      </c>
      <c r="H2">
        <v>106.1</v>
      </c>
      <c r="I2">
        <v>103.9</v>
      </c>
      <c r="J2">
        <v>101.9</v>
      </c>
      <c r="K2">
        <v>106.1</v>
      </c>
      <c r="L2">
        <v>106.8</v>
      </c>
      <c r="M2">
        <v>103.1</v>
      </c>
      <c r="N2">
        <v>104.8</v>
      </c>
      <c r="O2">
        <v>106.7</v>
      </c>
      <c r="P2">
        <v>105.5</v>
      </c>
      <c r="Q2">
        <v>105.1</v>
      </c>
      <c r="R2">
        <v>106.5</v>
      </c>
      <c r="S2">
        <v>105.8</v>
      </c>
      <c r="T2">
        <v>106.4</v>
      </c>
      <c r="U2" t="s">
        <v>43</v>
      </c>
      <c r="V2">
        <v>105.5</v>
      </c>
      <c r="W2">
        <v>104.8</v>
      </c>
      <c r="X2">
        <v>104</v>
      </c>
      <c r="Y2">
        <v>103.3</v>
      </c>
      <c r="Z2">
        <v>103.4</v>
      </c>
      <c r="AA2">
        <v>103.8</v>
      </c>
      <c r="AB2">
        <v>104.7</v>
      </c>
      <c r="AC2">
        <v>104</v>
      </c>
      <c r="AD2">
        <v>105.1</v>
      </c>
    </row>
    <row r="3" spans="1:30" x14ac:dyDescent="0.3">
      <c r="A3" t="s">
        <v>36</v>
      </c>
      <c r="B3">
        <v>2013</v>
      </c>
      <c r="C3" t="s">
        <v>42</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37</v>
      </c>
      <c r="B4">
        <v>2013</v>
      </c>
      <c r="C4" t="s">
        <v>42</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33</v>
      </c>
      <c r="B5">
        <v>2013</v>
      </c>
      <c r="C5" t="s">
        <v>44</v>
      </c>
      <c r="D5">
        <v>109.2</v>
      </c>
      <c r="E5">
        <v>108.7</v>
      </c>
      <c r="F5">
        <v>110.2</v>
      </c>
      <c r="G5">
        <v>105.4</v>
      </c>
      <c r="H5">
        <v>106.7</v>
      </c>
      <c r="I5">
        <v>104</v>
      </c>
      <c r="J5">
        <v>102.4</v>
      </c>
      <c r="K5">
        <v>105.9</v>
      </c>
      <c r="L5">
        <v>105.7</v>
      </c>
      <c r="M5">
        <v>103.1</v>
      </c>
      <c r="N5">
        <v>105.1</v>
      </c>
      <c r="O5">
        <v>107.7</v>
      </c>
      <c r="P5">
        <v>106.3</v>
      </c>
      <c r="Q5">
        <v>105.6</v>
      </c>
      <c r="R5">
        <v>107.1</v>
      </c>
      <c r="S5">
        <v>106.3</v>
      </c>
      <c r="T5">
        <v>107</v>
      </c>
      <c r="U5" t="s">
        <v>43</v>
      </c>
      <c r="V5">
        <v>106.2</v>
      </c>
      <c r="W5">
        <v>105.2</v>
      </c>
      <c r="X5">
        <v>104.4</v>
      </c>
      <c r="Y5">
        <v>103.9</v>
      </c>
      <c r="Z5">
        <v>104</v>
      </c>
      <c r="AA5">
        <v>104.1</v>
      </c>
      <c r="AB5">
        <v>104.6</v>
      </c>
      <c r="AC5">
        <v>104.4</v>
      </c>
      <c r="AD5">
        <v>105.8</v>
      </c>
    </row>
    <row r="6" spans="1:30" x14ac:dyDescent="0.3">
      <c r="A6" t="s">
        <v>36</v>
      </c>
      <c r="B6">
        <v>2013</v>
      </c>
      <c r="C6" t="s">
        <v>44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37</v>
      </c>
      <c r="B7">
        <v>2013</v>
      </c>
      <c r="C7" t="s">
        <v>44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33</v>
      </c>
      <c r="B8">
        <v>2013</v>
      </c>
      <c r="C8" t="s">
        <v>45</v>
      </c>
      <c r="D8">
        <v>110.2</v>
      </c>
      <c r="E8">
        <v>108.8</v>
      </c>
      <c r="F8">
        <v>109.9</v>
      </c>
      <c r="G8">
        <v>105.6</v>
      </c>
      <c r="H8">
        <v>106.2</v>
      </c>
      <c r="I8">
        <v>105.7</v>
      </c>
      <c r="J8">
        <v>101.4</v>
      </c>
      <c r="K8">
        <v>105.7</v>
      </c>
      <c r="L8">
        <v>105</v>
      </c>
      <c r="M8">
        <v>103.3</v>
      </c>
      <c r="N8">
        <v>105.6</v>
      </c>
      <c r="O8">
        <v>108.2</v>
      </c>
      <c r="P8">
        <v>106.6</v>
      </c>
      <c r="Q8">
        <v>106.5</v>
      </c>
      <c r="R8">
        <v>107.6</v>
      </c>
      <c r="S8">
        <v>106.8</v>
      </c>
      <c r="T8">
        <v>107.5</v>
      </c>
      <c r="U8" t="s">
        <v>43</v>
      </c>
      <c r="V8">
        <v>106.1</v>
      </c>
      <c r="W8">
        <v>105.6</v>
      </c>
      <c r="X8">
        <v>104.7</v>
      </c>
      <c r="Y8">
        <v>104.6</v>
      </c>
      <c r="Z8">
        <v>104</v>
      </c>
      <c r="AA8">
        <v>104.3</v>
      </c>
      <c r="AB8">
        <v>104.3</v>
      </c>
      <c r="AC8">
        <v>104.6</v>
      </c>
      <c r="AD8">
        <v>106</v>
      </c>
    </row>
    <row r="9" spans="1:30" x14ac:dyDescent="0.3">
      <c r="A9" t="s">
        <v>36</v>
      </c>
      <c r="B9">
        <v>2013</v>
      </c>
      <c r="C9" t="s">
        <v>45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37</v>
      </c>
      <c r="B10">
        <v>2013</v>
      </c>
      <c r="C10" t="s">
        <v>45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33</v>
      </c>
      <c r="B11">
        <v>2013</v>
      </c>
      <c r="C11" t="s">
        <v>46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43</v>
      </c>
      <c r="V11">
        <v>106.5</v>
      </c>
      <c r="W11">
        <v>106.1</v>
      </c>
      <c r="X11">
        <v>105.1</v>
      </c>
      <c r="Y11">
        <v>104.4</v>
      </c>
      <c r="Z11">
        <v>104.5</v>
      </c>
      <c r="AA11">
        <v>104.8</v>
      </c>
      <c r="AB11">
        <v>102.7</v>
      </c>
      <c r="AC11">
        <v>104.6</v>
      </c>
      <c r="AD11">
        <v>106.4</v>
      </c>
    </row>
    <row r="12" spans="1:30" x14ac:dyDescent="0.3">
      <c r="A12" t="s">
        <v>36</v>
      </c>
      <c r="B12">
        <v>2013</v>
      </c>
      <c r="C12" t="s">
        <v>46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37</v>
      </c>
      <c r="B13">
        <v>2013</v>
      </c>
      <c r="C13" t="s">
        <v>46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33</v>
      </c>
      <c r="B14">
        <v>2013</v>
      </c>
      <c r="C14" t="s">
        <v>34</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43</v>
      </c>
      <c r="V14">
        <v>107.5</v>
      </c>
      <c r="W14">
        <v>106.8</v>
      </c>
      <c r="X14">
        <v>105.7</v>
      </c>
      <c r="Y14">
        <v>104.1</v>
      </c>
      <c r="Z14">
        <v>105</v>
      </c>
      <c r="AA14">
        <v>105.5</v>
      </c>
      <c r="AB14">
        <v>102.1</v>
      </c>
      <c r="AC14">
        <v>104.8</v>
      </c>
      <c r="AD14">
        <v>107.2</v>
      </c>
    </row>
    <row r="15" spans="1:30" x14ac:dyDescent="0.3">
      <c r="A15" t="s">
        <v>36</v>
      </c>
      <c r="B15">
        <v>2013</v>
      </c>
      <c r="C15" t="s">
        <v>34</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37</v>
      </c>
      <c r="B16">
        <v>2013</v>
      </c>
      <c r="C16" t="s">
        <v>34</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33</v>
      </c>
      <c r="B17">
        <v>2013</v>
      </c>
      <c r="C17" t="s">
        <v>47</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43</v>
      </c>
      <c r="V17">
        <v>108.5</v>
      </c>
      <c r="W17">
        <v>107.5</v>
      </c>
      <c r="X17">
        <v>106.3</v>
      </c>
      <c r="Y17">
        <v>105</v>
      </c>
      <c r="Z17">
        <v>105.6</v>
      </c>
      <c r="AA17">
        <v>106.5</v>
      </c>
      <c r="AB17">
        <v>102.5</v>
      </c>
      <c r="AC17">
        <v>105.5</v>
      </c>
      <c r="AD17">
        <v>108.9</v>
      </c>
    </row>
    <row r="18" spans="1:30" x14ac:dyDescent="0.3">
      <c r="A18" t="s">
        <v>36</v>
      </c>
      <c r="B18">
        <v>2013</v>
      </c>
      <c r="C18" t="s">
        <v>47</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37</v>
      </c>
      <c r="B19">
        <v>2013</v>
      </c>
      <c r="C19" t="s">
        <v>47</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33</v>
      </c>
      <c r="B20">
        <v>2013</v>
      </c>
      <c r="C20" t="s">
        <v>48</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43</v>
      </c>
      <c r="V20">
        <v>109.5</v>
      </c>
      <c r="W20">
        <v>108.3</v>
      </c>
      <c r="X20">
        <v>106.9</v>
      </c>
      <c r="Y20">
        <v>106.8</v>
      </c>
      <c r="Z20">
        <v>106.4</v>
      </c>
      <c r="AA20">
        <v>107.8</v>
      </c>
      <c r="AB20">
        <v>102.5</v>
      </c>
      <c r="AC20">
        <v>106.5</v>
      </c>
      <c r="AD20">
        <v>110.7</v>
      </c>
    </row>
    <row r="21" spans="1:30" x14ac:dyDescent="0.3">
      <c r="A21" t="s">
        <v>36</v>
      </c>
      <c r="B21">
        <v>2013</v>
      </c>
      <c r="C21" t="s">
        <v>48</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37</v>
      </c>
      <c r="B22">
        <v>2013</v>
      </c>
      <c r="C22" t="s">
        <v>48</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33</v>
      </c>
      <c r="B23">
        <v>2013</v>
      </c>
      <c r="C23" t="s">
        <v>49</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43</v>
      </c>
      <c r="V23">
        <v>109.9</v>
      </c>
      <c r="W23">
        <v>108.7</v>
      </c>
      <c r="X23">
        <v>107.5</v>
      </c>
      <c r="Y23">
        <v>107.8</v>
      </c>
      <c r="Z23">
        <v>106.8</v>
      </c>
      <c r="AA23">
        <v>108.7</v>
      </c>
      <c r="AB23">
        <v>105</v>
      </c>
      <c r="AC23">
        <v>107.5</v>
      </c>
      <c r="AD23">
        <v>112.1</v>
      </c>
    </row>
    <row r="24" spans="1:30" x14ac:dyDescent="0.3">
      <c r="A24" t="s">
        <v>36</v>
      </c>
      <c r="B24">
        <v>2013</v>
      </c>
      <c r="C24" t="s">
        <v>49</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37</v>
      </c>
      <c r="B25">
        <v>2013</v>
      </c>
      <c r="C25" t="s">
        <v>49</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33</v>
      </c>
      <c r="B26">
        <v>2013</v>
      </c>
      <c r="C26" t="s">
        <v>50</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43</v>
      </c>
      <c r="V26">
        <v>111.1</v>
      </c>
      <c r="W26">
        <v>109.6</v>
      </c>
      <c r="X26">
        <v>108.3</v>
      </c>
      <c r="Y26">
        <v>109.3</v>
      </c>
      <c r="Z26">
        <v>107.7</v>
      </c>
      <c r="AA26">
        <v>109.8</v>
      </c>
      <c r="AB26">
        <v>106.7</v>
      </c>
      <c r="AC26">
        <v>108.7</v>
      </c>
      <c r="AD26">
        <v>114.2</v>
      </c>
    </row>
    <row r="27" spans="1:30" x14ac:dyDescent="0.3">
      <c r="A27" t="s">
        <v>36</v>
      </c>
      <c r="B27">
        <v>2013</v>
      </c>
      <c r="C27" t="s">
        <v>50</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37</v>
      </c>
      <c r="B28">
        <v>2013</v>
      </c>
      <c r="C28" t="s">
        <v>50</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33</v>
      </c>
      <c r="B29">
        <v>2013</v>
      </c>
      <c r="C29" t="s">
        <v>51</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43</v>
      </c>
      <c r="V29">
        <v>111.6</v>
      </c>
      <c r="W29">
        <v>110.4</v>
      </c>
      <c r="X29">
        <v>108.9</v>
      </c>
      <c r="Y29">
        <v>109.3</v>
      </c>
      <c r="Z29">
        <v>108.3</v>
      </c>
      <c r="AA29">
        <v>110.2</v>
      </c>
      <c r="AB29">
        <v>107.5</v>
      </c>
      <c r="AC29">
        <v>109.1</v>
      </c>
      <c r="AD29">
        <v>115.5</v>
      </c>
    </row>
    <row r="30" spans="1:30" x14ac:dyDescent="0.3">
      <c r="A30" t="s">
        <v>36</v>
      </c>
      <c r="B30">
        <v>2013</v>
      </c>
      <c r="C30" t="s">
        <v>51</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37</v>
      </c>
      <c r="B31">
        <v>2013</v>
      </c>
      <c r="C31" t="s">
        <v>51</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33</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43</v>
      </c>
      <c r="V32">
        <v>112.6</v>
      </c>
      <c r="W32">
        <v>111.3</v>
      </c>
      <c r="X32">
        <v>109.7</v>
      </c>
      <c r="Y32">
        <v>109.6</v>
      </c>
      <c r="Z32">
        <v>108.7</v>
      </c>
      <c r="AA32">
        <v>111</v>
      </c>
      <c r="AB32">
        <v>108.2</v>
      </c>
      <c r="AC32">
        <v>109.8</v>
      </c>
      <c r="AD32">
        <v>117.4</v>
      </c>
    </row>
    <row r="33" spans="1:30" x14ac:dyDescent="0.3">
      <c r="A33" t="s">
        <v>36</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37</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33</v>
      </c>
      <c r="B35">
        <v>2013</v>
      </c>
      <c r="C35" t="s">
        <v>54</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43</v>
      </c>
      <c r="V35">
        <v>112.8</v>
      </c>
      <c r="W35">
        <v>112.1</v>
      </c>
      <c r="X35">
        <v>110.1</v>
      </c>
      <c r="Y35">
        <v>109.9</v>
      </c>
      <c r="Z35">
        <v>109.2</v>
      </c>
      <c r="AA35">
        <v>111.6</v>
      </c>
      <c r="AB35">
        <v>108.1</v>
      </c>
      <c r="AC35">
        <v>110.1</v>
      </c>
      <c r="AD35">
        <v>115.5</v>
      </c>
    </row>
    <row r="36" spans="1:30" x14ac:dyDescent="0.3">
      <c r="A36" t="s">
        <v>36</v>
      </c>
      <c r="B36">
        <v>2013</v>
      </c>
      <c r="C36" t="s">
        <v>54</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37</v>
      </c>
      <c r="B37">
        <v>2013</v>
      </c>
      <c r="C37" t="s">
        <v>54</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33</v>
      </c>
      <c r="B38">
        <v>2014</v>
      </c>
      <c r="C38" t="s">
        <v>42</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43</v>
      </c>
      <c r="V38">
        <v>113</v>
      </c>
      <c r="W38">
        <v>112.6</v>
      </c>
      <c r="X38">
        <v>110.6</v>
      </c>
      <c r="Y38">
        <v>110.5</v>
      </c>
      <c r="Z38">
        <v>109.6</v>
      </c>
      <c r="AA38">
        <v>111.8</v>
      </c>
      <c r="AB38">
        <v>108.3</v>
      </c>
      <c r="AC38">
        <v>110.6</v>
      </c>
      <c r="AD38">
        <v>114.2</v>
      </c>
    </row>
    <row r="39" spans="1:30" x14ac:dyDescent="0.3">
      <c r="A39" t="s">
        <v>36</v>
      </c>
      <c r="B39">
        <v>2014</v>
      </c>
      <c r="C39" t="s">
        <v>42</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37</v>
      </c>
      <c r="B40">
        <v>2014</v>
      </c>
      <c r="C40" t="s">
        <v>42</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33</v>
      </c>
      <c r="B41">
        <v>2014</v>
      </c>
      <c r="C41" t="s">
        <v>44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43</v>
      </c>
      <c r="V41">
        <v>113.2</v>
      </c>
      <c r="W41">
        <v>112.9</v>
      </c>
      <c r="X41">
        <v>110.9</v>
      </c>
      <c r="Y41">
        <v>110.8</v>
      </c>
      <c r="Z41">
        <v>109.9</v>
      </c>
      <c r="AA41">
        <v>112</v>
      </c>
      <c r="AB41">
        <v>108.7</v>
      </c>
      <c r="AC41">
        <v>110.9</v>
      </c>
      <c r="AD41">
        <v>114</v>
      </c>
    </row>
    <row r="42" spans="1:30" x14ac:dyDescent="0.3">
      <c r="A42" t="s">
        <v>36</v>
      </c>
      <c r="B42">
        <v>2014</v>
      </c>
      <c r="C42" t="s">
        <v>44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37</v>
      </c>
      <c r="B43">
        <v>2014</v>
      </c>
      <c r="C43" t="s">
        <v>44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33</v>
      </c>
      <c r="B44">
        <v>2014</v>
      </c>
      <c r="C44" t="s">
        <v>45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43</v>
      </c>
      <c r="V44">
        <v>113.4</v>
      </c>
      <c r="W44">
        <v>113.4</v>
      </c>
      <c r="X44">
        <v>111.4</v>
      </c>
      <c r="Y44">
        <v>111.2</v>
      </c>
      <c r="Z44">
        <v>110.2</v>
      </c>
      <c r="AA44">
        <v>112.4</v>
      </c>
      <c r="AB44">
        <v>108.9</v>
      </c>
      <c r="AC44">
        <v>111.3</v>
      </c>
      <c r="AD44">
        <v>114.6</v>
      </c>
    </row>
    <row r="45" spans="1:30" x14ac:dyDescent="0.3">
      <c r="A45" t="s">
        <v>36</v>
      </c>
      <c r="B45">
        <v>2014</v>
      </c>
      <c r="C45" t="s">
        <v>45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37</v>
      </c>
      <c r="B46">
        <v>2014</v>
      </c>
      <c r="C46" t="s">
        <v>55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33</v>
      </c>
      <c r="B47">
        <v>2014</v>
      </c>
      <c r="C47" t="s">
        <v>46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43</v>
      </c>
      <c r="V47">
        <v>113.4</v>
      </c>
      <c r="W47">
        <v>113.7</v>
      </c>
      <c r="X47">
        <v>111.8</v>
      </c>
      <c r="Y47">
        <v>111.2</v>
      </c>
      <c r="Z47">
        <v>110.5</v>
      </c>
      <c r="AA47">
        <v>113</v>
      </c>
      <c r="AB47">
        <v>108.9</v>
      </c>
      <c r="AC47">
        <v>111.5</v>
      </c>
      <c r="AD47">
        <v>115.4</v>
      </c>
    </row>
    <row r="48" spans="1:30" x14ac:dyDescent="0.3">
      <c r="A48" t="s">
        <v>36</v>
      </c>
      <c r="B48">
        <v>2014</v>
      </c>
      <c r="C48" t="s">
        <v>46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37</v>
      </c>
      <c r="B49">
        <v>2014</v>
      </c>
      <c r="C49" t="s">
        <v>46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33</v>
      </c>
      <c r="B50">
        <v>2014</v>
      </c>
      <c r="C50" t="s">
        <v>34</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43</v>
      </c>
      <c r="V50">
        <v>113.4</v>
      </c>
      <c r="W50">
        <v>114.1</v>
      </c>
      <c r="X50">
        <v>112.1</v>
      </c>
      <c r="Y50">
        <v>111.4</v>
      </c>
      <c r="Z50">
        <v>110.9</v>
      </c>
      <c r="AA50">
        <v>113.1</v>
      </c>
      <c r="AB50">
        <v>108.9</v>
      </c>
      <c r="AC50">
        <v>111.8</v>
      </c>
      <c r="AD50">
        <v>116</v>
      </c>
    </row>
    <row r="51" spans="1:30" x14ac:dyDescent="0.3">
      <c r="A51" t="s">
        <v>36</v>
      </c>
      <c r="B51">
        <v>2014</v>
      </c>
      <c r="C51" t="s">
        <v>34</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37</v>
      </c>
      <c r="B52">
        <v>2014</v>
      </c>
      <c r="C52" t="s">
        <v>34</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33</v>
      </c>
      <c r="B53">
        <v>2014</v>
      </c>
      <c r="C53" t="s">
        <v>47</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43</v>
      </c>
      <c r="V53">
        <v>114.4</v>
      </c>
      <c r="W53">
        <v>114.9</v>
      </c>
      <c r="X53">
        <v>112.8</v>
      </c>
      <c r="Y53">
        <v>112.2</v>
      </c>
      <c r="Z53">
        <v>111.4</v>
      </c>
      <c r="AA53">
        <v>114.3</v>
      </c>
      <c r="AB53">
        <v>108</v>
      </c>
      <c r="AC53">
        <v>112.3</v>
      </c>
      <c r="AD53">
        <v>117</v>
      </c>
    </row>
    <row r="54" spans="1:30" x14ac:dyDescent="0.3">
      <c r="A54" t="s">
        <v>36</v>
      </c>
      <c r="B54">
        <v>2014</v>
      </c>
      <c r="C54" t="s">
        <v>47</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37</v>
      </c>
      <c r="B55">
        <v>2014</v>
      </c>
      <c r="C55" t="s">
        <v>47</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33</v>
      </c>
      <c r="B56">
        <v>2014</v>
      </c>
      <c r="C56" t="s">
        <v>48</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43</v>
      </c>
      <c r="V56">
        <v>115.3</v>
      </c>
      <c r="W56">
        <v>115.4</v>
      </c>
      <c r="X56">
        <v>113.4</v>
      </c>
      <c r="Y56">
        <v>113.2</v>
      </c>
      <c r="Z56">
        <v>111.8</v>
      </c>
      <c r="AA56">
        <v>115.5</v>
      </c>
      <c r="AB56">
        <v>108.8</v>
      </c>
      <c r="AC56">
        <v>113.1</v>
      </c>
      <c r="AD56">
        <v>119.5</v>
      </c>
    </row>
    <row r="57" spans="1:30" x14ac:dyDescent="0.3">
      <c r="A57" t="s">
        <v>36</v>
      </c>
      <c r="B57">
        <v>2014</v>
      </c>
      <c r="C57" t="s">
        <v>48</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37</v>
      </c>
      <c r="B58">
        <v>2014</v>
      </c>
      <c r="C58" t="s">
        <v>48</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33</v>
      </c>
      <c r="B59">
        <v>2014</v>
      </c>
      <c r="C59" t="s">
        <v>49</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43</v>
      </c>
      <c r="V59">
        <v>115.4</v>
      </c>
      <c r="W59">
        <v>115.9</v>
      </c>
      <c r="X59">
        <v>114</v>
      </c>
      <c r="Y59">
        <v>113.2</v>
      </c>
      <c r="Z59">
        <v>112.2</v>
      </c>
      <c r="AA59">
        <v>116.2</v>
      </c>
      <c r="AB59">
        <v>109.4</v>
      </c>
      <c r="AC59">
        <v>113.5</v>
      </c>
      <c r="AD59">
        <v>120.7</v>
      </c>
    </row>
    <row r="60" spans="1:30" x14ac:dyDescent="0.3">
      <c r="A60" t="s">
        <v>36</v>
      </c>
      <c r="B60">
        <v>2014</v>
      </c>
      <c r="C60" t="s">
        <v>49</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37</v>
      </c>
      <c r="B61">
        <v>2014</v>
      </c>
      <c r="C61" t="s">
        <v>49</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33</v>
      </c>
      <c r="B62">
        <v>2014</v>
      </c>
      <c r="C62" t="s">
        <v>50</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43</v>
      </c>
      <c r="V62">
        <v>115.8</v>
      </c>
      <c r="W62">
        <v>116.7</v>
      </c>
      <c r="X62">
        <v>114.5</v>
      </c>
      <c r="Y62">
        <v>112.8</v>
      </c>
      <c r="Z62">
        <v>112.6</v>
      </c>
      <c r="AA62">
        <v>116.6</v>
      </c>
      <c r="AB62">
        <v>109.1</v>
      </c>
      <c r="AC62">
        <v>113.7</v>
      </c>
      <c r="AD62">
        <v>120.9</v>
      </c>
    </row>
    <row r="63" spans="1:30" x14ac:dyDescent="0.3">
      <c r="A63" t="s">
        <v>36</v>
      </c>
      <c r="B63">
        <v>2014</v>
      </c>
      <c r="C63" t="s">
        <v>50</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37</v>
      </c>
      <c r="B64">
        <v>2014</v>
      </c>
      <c r="C64" t="s">
        <v>50</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33</v>
      </c>
      <c r="B65">
        <v>2014</v>
      </c>
      <c r="C65" t="s">
        <v>51</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43</v>
      </c>
      <c r="V65">
        <v>116.4</v>
      </c>
      <c r="W65">
        <v>117.5</v>
      </c>
      <c r="X65">
        <v>115.3</v>
      </c>
      <c r="Y65">
        <v>112.6</v>
      </c>
      <c r="Z65">
        <v>113</v>
      </c>
      <c r="AA65">
        <v>116.9</v>
      </c>
      <c r="AB65">
        <v>109.3</v>
      </c>
      <c r="AC65">
        <v>114</v>
      </c>
      <c r="AD65">
        <v>121</v>
      </c>
    </row>
    <row r="66" spans="1:30" x14ac:dyDescent="0.3">
      <c r="A66" t="s">
        <v>36</v>
      </c>
      <c r="B66">
        <v>2014</v>
      </c>
      <c r="C66" t="s">
        <v>51</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37</v>
      </c>
      <c r="B67">
        <v>2014</v>
      </c>
      <c r="C67" t="s">
        <v>51</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33</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43</v>
      </c>
      <c r="V68">
        <v>117.3</v>
      </c>
      <c r="W68">
        <v>118.1</v>
      </c>
      <c r="X68">
        <v>115.9</v>
      </c>
      <c r="Y68">
        <v>112</v>
      </c>
      <c r="Z68">
        <v>113.3</v>
      </c>
      <c r="AA68">
        <v>117.2</v>
      </c>
      <c r="AB68">
        <v>108.8</v>
      </c>
      <c r="AC68">
        <v>114.1</v>
      </c>
      <c r="AD68">
        <v>121.1</v>
      </c>
    </row>
    <row r="69" spans="1:30" x14ac:dyDescent="0.3">
      <c r="A69" t="s">
        <v>36</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37</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33</v>
      </c>
      <c r="B71">
        <v>2014</v>
      </c>
      <c r="C71" t="s">
        <v>54</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43</v>
      </c>
      <c r="V71">
        <v>117.4</v>
      </c>
      <c r="W71">
        <v>118.2</v>
      </c>
      <c r="X71">
        <v>116.2</v>
      </c>
      <c r="Y71">
        <v>111.5</v>
      </c>
      <c r="Z71">
        <v>113.3</v>
      </c>
      <c r="AA71">
        <v>117.7</v>
      </c>
      <c r="AB71">
        <v>109.4</v>
      </c>
      <c r="AC71">
        <v>114.2</v>
      </c>
      <c r="AD71">
        <v>120.3</v>
      </c>
    </row>
    <row r="72" spans="1:30" x14ac:dyDescent="0.3">
      <c r="A72" t="s">
        <v>36</v>
      </c>
      <c r="B72">
        <v>2014</v>
      </c>
      <c r="C72" t="s">
        <v>54</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37</v>
      </c>
      <c r="B73">
        <v>2014</v>
      </c>
      <c r="C73" t="s">
        <v>54</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33</v>
      </c>
      <c r="B74">
        <v>2015</v>
      </c>
      <c r="C74" t="s">
        <v>42</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43</v>
      </c>
      <c r="V74">
        <v>118.4</v>
      </c>
      <c r="W74">
        <v>118.9</v>
      </c>
      <c r="X74">
        <v>116.6</v>
      </c>
      <c r="Y74">
        <v>111</v>
      </c>
      <c r="Z74">
        <v>114</v>
      </c>
      <c r="AA74">
        <v>118.2</v>
      </c>
      <c r="AB74">
        <v>110.2</v>
      </c>
      <c r="AC74">
        <v>114.5</v>
      </c>
      <c r="AD74">
        <v>120.3</v>
      </c>
    </row>
    <row r="75" spans="1:30" x14ac:dyDescent="0.3">
      <c r="A75" t="s">
        <v>36</v>
      </c>
      <c r="B75">
        <v>2015</v>
      </c>
      <c r="C75" t="s">
        <v>42</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37</v>
      </c>
      <c r="B76">
        <v>2015</v>
      </c>
      <c r="C76" t="s">
        <v>42</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33</v>
      </c>
      <c r="B77">
        <v>2015</v>
      </c>
      <c r="C77" t="s">
        <v>44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43</v>
      </c>
      <c r="V77">
        <v>120</v>
      </c>
      <c r="W77">
        <v>119.6</v>
      </c>
      <c r="X77">
        <v>117.7</v>
      </c>
      <c r="Y77">
        <v>110.9</v>
      </c>
      <c r="Z77">
        <v>114.8</v>
      </c>
      <c r="AA77">
        <v>118.7</v>
      </c>
      <c r="AB77">
        <v>110.8</v>
      </c>
      <c r="AC77">
        <v>115</v>
      </c>
      <c r="AD77">
        <v>120.6</v>
      </c>
    </row>
    <row r="78" spans="1:30" x14ac:dyDescent="0.3">
      <c r="A78" t="s">
        <v>36</v>
      </c>
      <c r="B78">
        <v>2015</v>
      </c>
      <c r="C78" t="s">
        <v>44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37</v>
      </c>
      <c r="B79">
        <v>2015</v>
      </c>
      <c r="C79" t="s">
        <v>44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33</v>
      </c>
      <c r="B80">
        <v>2015</v>
      </c>
      <c r="C80" t="s">
        <v>45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43</v>
      </c>
      <c r="V80">
        <v>120.6</v>
      </c>
      <c r="W80">
        <v>120.2</v>
      </c>
      <c r="X80">
        <v>118.2</v>
      </c>
      <c r="Y80">
        <v>111.6</v>
      </c>
      <c r="Z80">
        <v>115.5</v>
      </c>
      <c r="AA80">
        <v>119.4</v>
      </c>
      <c r="AB80">
        <v>110.8</v>
      </c>
      <c r="AC80">
        <v>115.5</v>
      </c>
      <c r="AD80">
        <v>121.1</v>
      </c>
    </row>
    <row r="81" spans="1:30" x14ac:dyDescent="0.3">
      <c r="A81" t="s">
        <v>36</v>
      </c>
      <c r="B81">
        <v>2015</v>
      </c>
      <c r="C81" t="s">
        <v>45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37</v>
      </c>
      <c r="B82">
        <v>2015</v>
      </c>
      <c r="C82" t="s">
        <v>45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33</v>
      </c>
      <c r="B83">
        <v>2015</v>
      </c>
      <c r="C83" t="s">
        <v>46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43</v>
      </c>
      <c r="V83">
        <v>121.2</v>
      </c>
      <c r="W83">
        <v>120.9</v>
      </c>
      <c r="X83">
        <v>118.6</v>
      </c>
      <c r="Y83">
        <v>111.9</v>
      </c>
      <c r="Z83">
        <v>116.2</v>
      </c>
      <c r="AA83">
        <v>119.9</v>
      </c>
      <c r="AB83">
        <v>111.6</v>
      </c>
      <c r="AC83">
        <v>116</v>
      </c>
      <c r="AD83">
        <v>121.5</v>
      </c>
    </row>
    <row r="84" spans="1:30" x14ac:dyDescent="0.3">
      <c r="A84" t="s">
        <v>36</v>
      </c>
      <c r="B84">
        <v>2015</v>
      </c>
      <c r="C84" t="s">
        <v>46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37</v>
      </c>
      <c r="B85">
        <v>2015</v>
      </c>
      <c r="C85" t="s">
        <v>46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33</v>
      </c>
      <c r="B86">
        <v>2015</v>
      </c>
      <c r="C86" t="s">
        <v>34</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43</v>
      </c>
      <c r="V86">
        <v>121.9</v>
      </c>
      <c r="W86">
        <v>121.5</v>
      </c>
      <c r="X86">
        <v>119.4</v>
      </c>
      <c r="Y86">
        <v>113.3</v>
      </c>
      <c r="Z86">
        <v>116.7</v>
      </c>
      <c r="AA86">
        <v>120.5</v>
      </c>
      <c r="AB86">
        <v>112.3</v>
      </c>
      <c r="AC86">
        <v>116.9</v>
      </c>
      <c r="AD86">
        <v>122.4</v>
      </c>
    </row>
    <row r="87" spans="1:30" x14ac:dyDescent="0.3">
      <c r="A87" t="s">
        <v>36</v>
      </c>
      <c r="B87">
        <v>2015</v>
      </c>
      <c r="C87" t="s">
        <v>34</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37</v>
      </c>
      <c r="B88">
        <v>2015</v>
      </c>
      <c r="C88" t="s">
        <v>34</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33</v>
      </c>
      <c r="B89">
        <v>2015</v>
      </c>
      <c r="C89" t="s">
        <v>47</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43</v>
      </c>
      <c r="V89">
        <v>122.6</v>
      </c>
      <c r="W89">
        <v>122.8</v>
      </c>
      <c r="X89">
        <v>120.4</v>
      </c>
      <c r="Y89">
        <v>114.2</v>
      </c>
      <c r="Z89">
        <v>117.9</v>
      </c>
      <c r="AA89">
        <v>122</v>
      </c>
      <c r="AB89">
        <v>113</v>
      </c>
      <c r="AC89">
        <v>117.9</v>
      </c>
      <c r="AD89">
        <v>124.1</v>
      </c>
    </row>
    <row r="90" spans="1:30" x14ac:dyDescent="0.3">
      <c r="A90" t="s">
        <v>36</v>
      </c>
      <c r="B90">
        <v>2015</v>
      </c>
      <c r="C90" t="s">
        <v>47</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37</v>
      </c>
      <c r="B91">
        <v>2015</v>
      </c>
      <c r="C91" t="s">
        <v>47</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33</v>
      </c>
      <c r="B92">
        <v>2015</v>
      </c>
      <c r="C92" t="s">
        <v>48</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43</v>
      </c>
      <c r="V92">
        <v>123</v>
      </c>
      <c r="W92">
        <v>123</v>
      </c>
      <c r="X92">
        <v>120.8</v>
      </c>
      <c r="Y92">
        <v>114.1</v>
      </c>
      <c r="Z92">
        <v>118</v>
      </c>
      <c r="AA92">
        <v>122.9</v>
      </c>
      <c r="AB92">
        <v>112.7</v>
      </c>
      <c r="AC92">
        <v>118.1</v>
      </c>
      <c r="AD92">
        <v>124.7</v>
      </c>
    </row>
    <row r="93" spans="1:30" x14ac:dyDescent="0.3">
      <c r="A93" t="s">
        <v>36</v>
      </c>
      <c r="B93">
        <v>2015</v>
      </c>
      <c r="C93" t="s">
        <v>48</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37</v>
      </c>
      <c r="B94">
        <v>2015</v>
      </c>
      <c r="C94" t="s">
        <v>48</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33</v>
      </c>
      <c r="B95">
        <v>2015</v>
      </c>
      <c r="C95" t="s">
        <v>49</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43</v>
      </c>
      <c r="V95">
        <v>123.8</v>
      </c>
      <c r="W95">
        <v>123.7</v>
      </c>
      <c r="X95">
        <v>121.1</v>
      </c>
      <c r="Y95">
        <v>113.6</v>
      </c>
      <c r="Z95">
        <v>118.5</v>
      </c>
      <c r="AA95">
        <v>123.6</v>
      </c>
      <c r="AB95">
        <v>112.5</v>
      </c>
      <c r="AC95">
        <v>118.2</v>
      </c>
      <c r="AD95">
        <v>126.1</v>
      </c>
    </row>
    <row r="96" spans="1:30" x14ac:dyDescent="0.3">
      <c r="A96" t="s">
        <v>36</v>
      </c>
      <c r="B96">
        <v>2015</v>
      </c>
      <c r="C96" t="s">
        <v>49</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37</v>
      </c>
      <c r="B97">
        <v>2015</v>
      </c>
      <c r="C97" t="s">
        <v>49</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33</v>
      </c>
      <c r="B98">
        <v>2015</v>
      </c>
      <c r="C98" t="s">
        <v>50</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43</v>
      </c>
      <c r="V98">
        <v>123.7</v>
      </c>
      <c r="W98">
        <v>124.5</v>
      </c>
      <c r="X98">
        <v>121.4</v>
      </c>
      <c r="Y98">
        <v>113.8</v>
      </c>
      <c r="Z98">
        <v>119.6</v>
      </c>
      <c r="AA98">
        <v>124.5</v>
      </c>
      <c r="AB98">
        <v>113.7</v>
      </c>
      <c r="AC98">
        <v>118.8</v>
      </c>
      <c r="AD98">
        <v>127</v>
      </c>
    </row>
    <row r="99" spans="1:30" x14ac:dyDescent="0.3">
      <c r="A99" t="s">
        <v>36</v>
      </c>
      <c r="B99">
        <v>2015</v>
      </c>
      <c r="C99" t="s">
        <v>50</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37</v>
      </c>
      <c r="B100">
        <v>2015</v>
      </c>
      <c r="C100" t="s">
        <v>50</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33</v>
      </c>
      <c r="B101">
        <v>2015</v>
      </c>
      <c r="C101" t="s">
        <v>51</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43</v>
      </c>
      <c r="V101">
        <v>124.4</v>
      </c>
      <c r="W101">
        <v>125.1</v>
      </c>
      <c r="X101">
        <v>122</v>
      </c>
      <c r="Y101">
        <v>113.8</v>
      </c>
      <c r="Z101">
        <v>120.1</v>
      </c>
      <c r="AA101">
        <v>125.1</v>
      </c>
      <c r="AB101">
        <v>114.2</v>
      </c>
      <c r="AC101">
        <v>119.2</v>
      </c>
      <c r="AD101">
        <v>127.7</v>
      </c>
    </row>
    <row r="102" spans="1:30" x14ac:dyDescent="0.3">
      <c r="A102" t="s">
        <v>36</v>
      </c>
      <c r="B102">
        <v>2015</v>
      </c>
      <c r="C102" t="s">
        <v>51</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37</v>
      </c>
      <c r="B103">
        <v>2015</v>
      </c>
      <c r="C103" t="s">
        <v>51</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33</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43</v>
      </c>
      <c r="V104">
        <v>125.6</v>
      </c>
      <c r="W104">
        <v>125.6</v>
      </c>
      <c r="X104">
        <v>122.6</v>
      </c>
      <c r="Y104">
        <v>114</v>
      </c>
      <c r="Z104">
        <v>120.9</v>
      </c>
      <c r="AA104">
        <v>125.8</v>
      </c>
      <c r="AB104">
        <v>114.2</v>
      </c>
      <c r="AC104">
        <v>119.6</v>
      </c>
      <c r="AD104">
        <v>128.30000000000001</v>
      </c>
    </row>
    <row r="105" spans="1:30" x14ac:dyDescent="0.3">
      <c r="A105" t="s">
        <v>36</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37</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33</v>
      </c>
      <c r="B107">
        <v>2015</v>
      </c>
      <c r="C107" t="s">
        <v>54</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43</v>
      </c>
      <c r="V107">
        <v>125.7</v>
      </c>
      <c r="W107">
        <v>126</v>
      </c>
      <c r="X107">
        <v>123.1</v>
      </c>
      <c r="Y107">
        <v>114</v>
      </c>
      <c r="Z107">
        <v>121.6</v>
      </c>
      <c r="AA107">
        <v>125.6</v>
      </c>
      <c r="AB107">
        <v>114.1</v>
      </c>
      <c r="AC107">
        <v>119.8</v>
      </c>
      <c r="AD107">
        <v>127.9</v>
      </c>
    </row>
    <row r="108" spans="1:30" x14ac:dyDescent="0.3">
      <c r="A108" t="s">
        <v>36</v>
      </c>
      <c r="B108">
        <v>2015</v>
      </c>
      <c r="C108" t="s">
        <v>54</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37</v>
      </c>
      <c r="B109">
        <v>2015</v>
      </c>
      <c r="C109" t="s">
        <v>54</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33</v>
      </c>
      <c r="B110">
        <v>2016</v>
      </c>
      <c r="C110" t="s">
        <v>42</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43</v>
      </c>
      <c r="V110">
        <v>126.2</v>
      </c>
      <c r="W110">
        <v>126.6</v>
      </c>
      <c r="X110">
        <v>123.7</v>
      </c>
      <c r="Y110">
        <v>113.6</v>
      </c>
      <c r="Z110">
        <v>121.4</v>
      </c>
      <c r="AA110">
        <v>126.2</v>
      </c>
      <c r="AB110">
        <v>114.9</v>
      </c>
      <c r="AC110">
        <v>120.1</v>
      </c>
      <c r="AD110">
        <v>128.1</v>
      </c>
    </row>
    <row r="111" spans="1:30" x14ac:dyDescent="0.3">
      <c r="A111" t="s">
        <v>36</v>
      </c>
      <c r="B111">
        <v>2016</v>
      </c>
      <c r="C111" t="s">
        <v>42</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37</v>
      </c>
      <c r="B112">
        <v>2016</v>
      </c>
      <c r="C112" t="s">
        <v>42</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33</v>
      </c>
      <c r="B113">
        <v>2016</v>
      </c>
      <c r="C113" t="s">
        <v>44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43</v>
      </c>
      <c r="V113">
        <v>127.5</v>
      </c>
      <c r="W113">
        <v>127.1</v>
      </c>
      <c r="X113">
        <v>124.3</v>
      </c>
      <c r="Y113">
        <v>113.9</v>
      </c>
      <c r="Z113">
        <v>122.3</v>
      </c>
      <c r="AA113">
        <v>127.1</v>
      </c>
      <c r="AB113">
        <v>116.8</v>
      </c>
      <c r="AC113">
        <v>120.9</v>
      </c>
      <c r="AD113">
        <v>127.9</v>
      </c>
    </row>
    <row r="114" spans="1:30" x14ac:dyDescent="0.3">
      <c r="A114" t="s">
        <v>36</v>
      </c>
      <c r="B114">
        <v>2016</v>
      </c>
      <c r="C114" t="s">
        <v>44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37</v>
      </c>
      <c r="B115">
        <v>2016</v>
      </c>
      <c r="C115" t="s">
        <v>44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33</v>
      </c>
      <c r="B116">
        <v>2016</v>
      </c>
      <c r="C116" t="s">
        <v>45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43</v>
      </c>
      <c r="V116">
        <v>127</v>
      </c>
      <c r="W116">
        <v>127.7</v>
      </c>
      <c r="X116">
        <v>124.8</v>
      </c>
      <c r="Y116">
        <v>113.6</v>
      </c>
      <c r="Z116">
        <v>122.5</v>
      </c>
      <c r="AA116">
        <v>127.5</v>
      </c>
      <c r="AB116">
        <v>117.4</v>
      </c>
      <c r="AC116">
        <v>121.1</v>
      </c>
      <c r="AD116">
        <v>128</v>
      </c>
    </row>
    <row r="117" spans="1:30" x14ac:dyDescent="0.3">
      <c r="A117" t="s">
        <v>36</v>
      </c>
      <c r="B117">
        <v>2016</v>
      </c>
      <c r="C117" t="s">
        <v>45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37</v>
      </c>
      <c r="B118">
        <v>2016</v>
      </c>
      <c r="C118" t="s">
        <v>45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33</v>
      </c>
      <c r="B119">
        <v>2016</v>
      </c>
      <c r="C119" t="s">
        <v>46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43</v>
      </c>
      <c r="V119">
        <v>127</v>
      </c>
      <c r="W119">
        <v>128</v>
      </c>
      <c r="X119">
        <v>125.2</v>
      </c>
      <c r="Y119">
        <v>114.4</v>
      </c>
      <c r="Z119">
        <v>123.2</v>
      </c>
      <c r="AA119">
        <v>127.9</v>
      </c>
      <c r="AB119">
        <v>118.4</v>
      </c>
      <c r="AC119">
        <v>121.7</v>
      </c>
      <c r="AD119">
        <v>129</v>
      </c>
    </row>
    <row r="120" spans="1:30" x14ac:dyDescent="0.3">
      <c r="A120" t="s">
        <v>36</v>
      </c>
      <c r="B120">
        <v>2016</v>
      </c>
      <c r="C120" t="s">
        <v>46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37</v>
      </c>
      <c r="B121">
        <v>2016</v>
      </c>
      <c r="C121" t="s">
        <v>46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33</v>
      </c>
      <c r="B122">
        <v>2016</v>
      </c>
      <c r="C122" t="s">
        <v>34</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43</v>
      </c>
      <c r="V122">
        <v>127.4</v>
      </c>
      <c r="W122">
        <v>128.5</v>
      </c>
      <c r="X122">
        <v>125.8</v>
      </c>
      <c r="Y122">
        <v>115.1</v>
      </c>
      <c r="Z122">
        <v>123.6</v>
      </c>
      <c r="AA122">
        <v>129.1</v>
      </c>
      <c r="AB122">
        <v>119.7</v>
      </c>
      <c r="AC122">
        <v>122.5</v>
      </c>
      <c r="AD122">
        <v>130.30000000000001</v>
      </c>
    </row>
    <row r="123" spans="1:30" x14ac:dyDescent="0.3">
      <c r="A123" t="s">
        <v>36</v>
      </c>
      <c r="B123">
        <v>2016</v>
      </c>
      <c r="C123" t="s">
        <v>34</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37</v>
      </c>
      <c r="B124">
        <v>2016</v>
      </c>
      <c r="C124" t="s">
        <v>34</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33</v>
      </c>
      <c r="B125">
        <v>2016</v>
      </c>
      <c r="C125" t="s">
        <v>47</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43</v>
      </c>
      <c r="V125">
        <v>128</v>
      </c>
      <c r="W125">
        <v>129.30000000000001</v>
      </c>
      <c r="X125">
        <v>126.2</v>
      </c>
      <c r="Y125">
        <v>116.3</v>
      </c>
      <c r="Z125">
        <v>124.1</v>
      </c>
      <c r="AA125">
        <v>130.19999999999999</v>
      </c>
      <c r="AB125">
        <v>119.9</v>
      </c>
      <c r="AC125">
        <v>123.3</v>
      </c>
      <c r="AD125">
        <v>131.9</v>
      </c>
    </row>
    <row r="126" spans="1:30" x14ac:dyDescent="0.3">
      <c r="A126" t="s">
        <v>36</v>
      </c>
      <c r="B126">
        <v>2016</v>
      </c>
      <c r="C126" t="s">
        <v>47</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37</v>
      </c>
      <c r="B127">
        <v>2016</v>
      </c>
      <c r="C127" t="s">
        <v>47</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33</v>
      </c>
      <c r="B128">
        <v>2016</v>
      </c>
      <c r="C128" t="s">
        <v>48</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43</v>
      </c>
      <c r="V128">
        <v>128.19999999999999</v>
      </c>
      <c r="W128">
        <v>130</v>
      </c>
      <c r="X128">
        <v>126.7</v>
      </c>
      <c r="Y128">
        <v>116.4</v>
      </c>
      <c r="Z128">
        <v>125.2</v>
      </c>
      <c r="AA128">
        <v>130.80000000000001</v>
      </c>
      <c r="AB128">
        <v>120.9</v>
      </c>
      <c r="AC128">
        <v>123.8</v>
      </c>
      <c r="AD128">
        <v>133</v>
      </c>
    </row>
    <row r="129" spans="1:30" x14ac:dyDescent="0.3">
      <c r="A129" t="s">
        <v>36</v>
      </c>
      <c r="B129">
        <v>2016</v>
      </c>
      <c r="C129" t="s">
        <v>48</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37</v>
      </c>
      <c r="B130">
        <v>2016</v>
      </c>
      <c r="C130" t="s">
        <v>48</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33</v>
      </c>
      <c r="B131">
        <v>2016</v>
      </c>
      <c r="C131" t="s">
        <v>49</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43</v>
      </c>
      <c r="V131">
        <v>129.1</v>
      </c>
      <c r="W131">
        <v>130.6</v>
      </c>
      <c r="X131">
        <v>127</v>
      </c>
      <c r="Y131">
        <v>116</v>
      </c>
      <c r="Z131">
        <v>125.5</v>
      </c>
      <c r="AA131">
        <v>131.9</v>
      </c>
      <c r="AB131">
        <v>122</v>
      </c>
      <c r="AC131">
        <v>124.2</v>
      </c>
      <c r="AD131">
        <v>133.5</v>
      </c>
    </row>
    <row r="132" spans="1:30" x14ac:dyDescent="0.3">
      <c r="A132" t="s">
        <v>36</v>
      </c>
      <c r="B132">
        <v>2016</v>
      </c>
      <c r="C132" t="s">
        <v>49</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37</v>
      </c>
      <c r="B133">
        <v>2016</v>
      </c>
      <c r="C133" t="s">
        <v>49</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33</v>
      </c>
      <c r="B134">
        <v>2016</v>
      </c>
      <c r="C134" t="s">
        <v>50</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43</v>
      </c>
      <c r="V134">
        <v>129.69999999999999</v>
      </c>
      <c r="W134">
        <v>131.1</v>
      </c>
      <c r="X134">
        <v>127.8</v>
      </c>
      <c r="Y134">
        <v>117</v>
      </c>
      <c r="Z134">
        <v>125.7</v>
      </c>
      <c r="AA134">
        <v>132.19999999999999</v>
      </c>
      <c r="AB134">
        <v>122.8</v>
      </c>
      <c r="AC134">
        <v>124.9</v>
      </c>
      <c r="AD134">
        <v>133.4</v>
      </c>
    </row>
    <row r="135" spans="1:30" x14ac:dyDescent="0.3">
      <c r="A135" t="s">
        <v>36</v>
      </c>
      <c r="B135">
        <v>2016</v>
      </c>
      <c r="C135" t="s">
        <v>50</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37</v>
      </c>
      <c r="B136">
        <v>2016</v>
      </c>
      <c r="C136" t="s">
        <v>50</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33</v>
      </c>
      <c r="B137">
        <v>2016</v>
      </c>
      <c r="C137" t="s">
        <v>51</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43</v>
      </c>
      <c r="V137">
        <v>129.80000000000001</v>
      </c>
      <c r="W137">
        <v>131.80000000000001</v>
      </c>
      <c r="X137">
        <v>128.69999999999999</v>
      </c>
      <c r="Y137">
        <v>117.8</v>
      </c>
      <c r="Z137">
        <v>126.5</v>
      </c>
      <c r="AA137">
        <v>133</v>
      </c>
      <c r="AB137">
        <v>123</v>
      </c>
      <c r="AC137">
        <v>125.7</v>
      </c>
      <c r="AD137">
        <v>133.80000000000001</v>
      </c>
    </row>
    <row r="138" spans="1:30" x14ac:dyDescent="0.3">
      <c r="A138" t="s">
        <v>36</v>
      </c>
      <c r="B138">
        <v>2016</v>
      </c>
      <c r="C138" t="s">
        <v>51</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37</v>
      </c>
      <c r="B139">
        <v>2016</v>
      </c>
      <c r="C139" t="s">
        <v>51</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33</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43</v>
      </c>
      <c r="V140">
        <v>130.30000000000001</v>
      </c>
      <c r="W140">
        <v>132.1</v>
      </c>
      <c r="X140">
        <v>129.1</v>
      </c>
      <c r="Y140">
        <v>118.2</v>
      </c>
      <c r="Z140">
        <v>126.9</v>
      </c>
      <c r="AA140">
        <v>133.69999999999999</v>
      </c>
      <c r="AB140">
        <v>123.5</v>
      </c>
      <c r="AC140">
        <v>126.1</v>
      </c>
      <c r="AD140">
        <v>133.6</v>
      </c>
    </row>
    <row r="141" spans="1:30" x14ac:dyDescent="0.3">
      <c r="A141" t="s">
        <v>36</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37</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33</v>
      </c>
      <c r="B143">
        <v>2016</v>
      </c>
      <c r="C143" t="s">
        <v>54</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43</v>
      </c>
      <c r="V143">
        <v>132</v>
      </c>
      <c r="W143">
        <v>132.9</v>
      </c>
      <c r="X143">
        <v>129.69999999999999</v>
      </c>
      <c r="Y143">
        <v>118.6</v>
      </c>
      <c r="Z143">
        <v>127.3</v>
      </c>
      <c r="AA143">
        <v>134.19999999999999</v>
      </c>
      <c r="AB143">
        <v>121.9</v>
      </c>
      <c r="AC143">
        <v>126.3</v>
      </c>
      <c r="AD143">
        <v>132.80000000000001</v>
      </c>
    </row>
    <row r="144" spans="1:30" x14ac:dyDescent="0.3">
      <c r="A144" t="s">
        <v>36</v>
      </c>
      <c r="B144">
        <v>2016</v>
      </c>
      <c r="C144" t="s">
        <v>54</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37</v>
      </c>
      <c r="B145">
        <v>2016</v>
      </c>
      <c r="C145" t="s">
        <v>54</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33</v>
      </c>
      <c r="B146">
        <v>2017</v>
      </c>
      <c r="C146" t="s">
        <v>42</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43</v>
      </c>
      <c r="V146">
        <v>132.1</v>
      </c>
      <c r="W146">
        <v>133.19999999999999</v>
      </c>
      <c r="X146">
        <v>129.9</v>
      </c>
      <c r="Y146">
        <v>119.1</v>
      </c>
      <c r="Z146">
        <v>127</v>
      </c>
      <c r="AA146">
        <v>134.6</v>
      </c>
      <c r="AB146">
        <v>122.3</v>
      </c>
      <c r="AC146">
        <v>126.6</v>
      </c>
      <c r="AD146">
        <v>132.4</v>
      </c>
    </row>
    <row r="147" spans="1:30" x14ac:dyDescent="0.3">
      <c r="A147" t="s">
        <v>36</v>
      </c>
      <c r="B147">
        <v>2017</v>
      </c>
      <c r="C147" t="s">
        <v>42</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37</v>
      </c>
      <c r="B148">
        <v>2017</v>
      </c>
      <c r="C148" t="s">
        <v>42</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33</v>
      </c>
      <c r="B149">
        <v>2017</v>
      </c>
      <c r="C149" t="s">
        <v>44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43</v>
      </c>
      <c r="V149">
        <v>133.19999999999999</v>
      </c>
      <c r="W149">
        <v>133.6</v>
      </c>
      <c r="X149">
        <v>130.1</v>
      </c>
      <c r="Y149">
        <v>119.5</v>
      </c>
      <c r="Z149">
        <v>127.7</v>
      </c>
      <c r="AA149">
        <v>134.9</v>
      </c>
      <c r="AB149">
        <v>123.2</v>
      </c>
      <c r="AC149">
        <v>127</v>
      </c>
      <c r="AD149">
        <v>132.6</v>
      </c>
    </row>
    <row r="150" spans="1:30" x14ac:dyDescent="0.3">
      <c r="A150" t="s">
        <v>36</v>
      </c>
      <c r="B150">
        <v>2017</v>
      </c>
      <c r="C150" t="s">
        <v>44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37</v>
      </c>
      <c r="B151">
        <v>2017</v>
      </c>
      <c r="C151" t="s">
        <v>44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33</v>
      </c>
      <c r="B152">
        <v>2017</v>
      </c>
      <c r="C152" t="s">
        <v>45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43</v>
      </c>
      <c r="V152">
        <v>134.19999999999999</v>
      </c>
      <c r="W152">
        <v>134.1</v>
      </c>
      <c r="X152">
        <v>130.6</v>
      </c>
      <c r="Y152">
        <v>119.8</v>
      </c>
      <c r="Z152">
        <v>128.30000000000001</v>
      </c>
      <c r="AA152">
        <v>135.19999999999999</v>
      </c>
      <c r="AB152">
        <v>123.3</v>
      </c>
      <c r="AC152">
        <v>127.4</v>
      </c>
      <c r="AD152">
        <v>132.80000000000001</v>
      </c>
    </row>
    <row r="153" spans="1:30" x14ac:dyDescent="0.3">
      <c r="A153" t="s">
        <v>36</v>
      </c>
      <c r="B153">
        <v>2017</v>
      </c>
      <c r="C153" t="s">
        <v>45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37</v>
      </c>
      <c r="B154">
        <v>2017</v>
      </c>
      <c r="C154" t="s">
        <v>45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33</v>
      </c>
      <c r="B155">
        <v>2017</v>
      </c>
      <c r="C155" t="s">
        <v>46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43</v>
      </c>
      <c r="V155">
        <v>135</v>
      </c>
      <c r="W155">
        <v>134.30000000000001</v>
      </c>
      <c r="X155">
        <v>131</v>
      </c>
      <c r="Y155">
        <v>119.2</v>
      </c>
      <c r="Z155">
        <v>128.30000000000001</v>
      </c>
      <c r="AA155">
        <v>135.69999999999999</v>
      </c>
      <c r="AB155">
        <v>123.7</v>
      </c>
      <c r="AC155">
        <v>127.5</v>
      </c>
      <c r="AD155">
        <v>132.9</v>
      </c>
    </row>
    <row r="156" spans="1:30" x14ac:dyDescent="0.3">
      <c r="A156" t="s">
        <v>36</v>
      </c>
      <c r="B156">
        <v>2017</v>
      </c>
      <c r="C156" t="s">
        <v>46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37</v>
      </c>
      <c r="B157">
        <v>2017</v>
      </c>
      <c r="C157" t="s">
        <v>46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33</v>
      </c>
      <c r="B158">
        <v>2017</v>
      </c>
      <c r="C158" t="s">
        <v>34</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43</v>
      </c>
      <c r="V158">
        <v>135</v>
      </c>
      <c r="W158">
        <v>134.9</v>
      </c>
      <c r="X158">
        <v>131.4</v>
      </c>
      <c r="Y158">
        <v>119.4</v>
      </c>
      <c r="Z158">
        <v>129.4</v>
      </c>
      <c r="AA158">
        <v>136.30000000000001</v>
      </c>
      <c r="AB158">
        <v>123.7</v>
      </c>
      <c r="AC158">
        <v>127.9</v>
      </c>
      <c r="AD158">
        <v>133.30000000000001</v>
      </c>
    </row>
    <row r="159" spans="1:30" x14ac:dyDescent="0.3">
      <c r="A159" t="s">
        <v>36</v>
      </c>
      <c r="B159">
        <v>2017</v>
      </c>
      <c r="C159" t="s">
        <v>34</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37</v>
      </c>
      <c r="B160">
        <v>2017</v>
      </c>
      <c r="C160" t="s">
        <v>34</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33</v>
      </c>
      <c r="B161">
        <v>2017</v>
      </c>
      <c r="C161" t="s">
        <v>47</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43</v>
      </c>
      <c r="V161">
        <v>134.80000000000001</v>
      </c>
      <c r="W161">
        <v>135.19999999999999</v>
      </c>
      <c r="X161">
        <v>131.30000000000001</v>
      </c>
      <c r="Y161">
        <v>119.4</v>
      </c>
      <c r="Z161">
        <v>129.80000000000001</v>
      </c>
      <c r="AA161">
        <v>136.9</v>
      </c>
      <c r="AB161">
        <v>124.1</v>
      </c>
      <c r="AC161">
        <v>128.1</v>
      </c>
      <c r="AD161">
        <v>133.9</v>
      </c>
    </row>
    <row r="162" spans="1:30" x14ac:dyDescent="0.3">
      <c r="A162" t="s">
        <v>36</v>
      </c>
      <c r="B162">
        <v>2017</v>
      </c>
      <c r="C162" t="s">
        <v>47</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37</v>
      </c>
      <c r="B163">
        <v>2017</v>
      </c>
      <c r="C163" t="s">
        <v>47</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33</v>
      </c>
      <c r="B164">
        <v>2017</v>
      </c>
      <c r="C164" t="s">
        <v>48</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43</v>
      </c>
      <c r="V164">
        <v>135.30000000000001</v>
      </c>
      <c r="W164">
        <v>136.1</v>
      </c>
      <c r="X164">
        <v>132.1</v>
      </c>
      <c r="Y164">
        <v>119.1</v>
      </c>
      <c r="Z164">
        <v>130.6</v>
      </c>
      <c r="AA164">
        <v>138.6</v>
      </c>
      <c r="AB164">
        <v>124.4</v>
      </c>
      <c r="AC164">
        <v>128.6</v>
      </c>
      <c r="AD164">
        <v>136.19999999999999</v>
      </c>
    </row>
    <row r="165" spans="1:30" x14ac:dyDescent="0.3">
      <c r="A165" t="s">
        <v>36</v>
      </c>
      <c r="B165">
        <v>2017</v>
      </c>
      <c r="C165" t="s">
        <v>48</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37</v>
      </c>
      <c r="B166">
        <v>2017</v>
      </c>
      <c r="C166" t="s">
        <v>48</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33</v>
      </c>
      <c r="B167">
        <v>2017</v>
      </c>
      <c r="C167" t="s">
        <v>49</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43</v>
      </c>
      <c r="V167">
        <v>136.4</v>
      </c>
      <c r="W167">
        <v>137.30000000000001</v>
      </c>
      <c r="X167">
        <v>133</v>
      </c>
      <c r="Y167">
        <v>120.3</v>
      </c>
      <c r="Z167">
        <v>131.5</v>
      </c>
      <c r="AA167">
        <v>140.19999999999999</v>
      </c>
      <c r="AB167">
        <v>125.4</v>
      </c>
      <c r="AC167">
        <v>129.69999999999999</v>
      </c>
      <c r="AD167">
        <v>137.80000000000001</v>
      </c>
    </row>
    <row r="168" spans="1:30" x14ac:dyDescent="0.3">
      <c r="A168" t="s">
        <v>36</v>
      </c>
      <c r="B168">
        <v>2017</v>
      </c>
      <c r="C168" t="s">
        <v>49</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37</v>
      </c>
      <c r="B169">
        <v>2017</v>
      </c>
      <c r="C169" t="s">
        <v>49</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33</v>
      </c>
      <c r="B170">
        <v>2017</v>
      </c>
      <c r="C170" t="s">
        <v>50</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43</v>
      </c>
      <c r="V170">
        <v>137.4</v>
      </c>
      <c r="W170">
        <v>137.9</v>
      </c>
      <c r="X170">
        <v>133.4</v>
      </c>
      <c r="Y170">
        <v>121.2</v>
      </c>
      <c r="Z170">
        <v>132.30000000000001</v>
      </c>
      <c r="AA170">
        <v>139.6</v>
      </c>
      <c r="AB170">
        <v>126.7</v>
      </c>
      <c r="AC170">
        <v>130.30000000000001</v>
      </c>
      <c r="AD170">
        <v>137.6</v>
      </c>
    </row>
    <row r="171" spans="1:30" x14ac:dyDescent="0.3">
      <c r="A171" t="s">
        <v>36</v>
      </c>
      <c r="B171">
        <v>2017</v>
      </c>
      <c r="C171" t="s">
        <v>50</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37</v>
      </c>
      <c r="B172">
        <v>2017</v>
      </c>
      <c r="C172" t="s">
        <v>50</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33</v>
      </c>
      <c r="B173">
        <v>2017</v>
      </c>
      <c r="C173" t="s">
        <v>51</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43</v>
      </c>
      <c r="V173">
        <v>138.1</v>
      </c>
      <c r="W173">
        <v>138.4</v>
      </c>
      <c r="X173">
        <v>134.19999999999999</v>
      </c>
      <c r="Y173">
        <v>121</v>
      </c>
      <c r="Z173">
        <v>133</v>
      </c>
      <c r="AA173">
        <v>140.1</v>
      </c>
      <c r="AB173">
        <v>127.4</v>
      </c>
      <c r="AC173">
        <v>130.69999999999999</v>
      </c>
      <c r="AD173">
        <v>138.30000000000001</v>
      </c>
    </row>
    <row r="174" spans="1:30" x14ac:dyDescent="0.3">
      <c r="A174" t="s">
        <v>36</v>
      </c>
      <c r="B174">
        <v>2017</v>
      </c>
      <c r="C174" t="s">
        <v>51</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37</v>
      </c>
      <c r="B175">
        <v>2017</v>
      </c>
      <c r="C175" t="s">
        <v>51</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33</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43</v>
      </c>
      <c r="V176">
        <v>141.1</v>
      </c>
      <c r="W176">
        <v>139.4</v>
      </c>
      <c r="X176">
        <v>135.80000000000001</v>
      </c>
      <c r="Y176">
        <v>121.6</v>
      </c>
      <c r="Z176">
        <v>133.69999999999999</v>
      </c>
      <c r="AA176">
        <v>141.5</v>
      </c>
      <c r="AB176">
        <v>128.1</v>
      </c>
      <c r="AC176">
        <v>131.69999999999999</v>
      </c>
      <c r="AD176">
        <v>140</v>
      </c>
    </row>
    <row r="177" spans="1:30" x14ac:dyDescent="0.3">
      <c r="A177" t="s">
        <v>36</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37</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33</v>
      </c>
      <c r="B179">
        <v>2017</v>
      </c>
      <c r="C179" t="s">
        <v>54</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43</v>
      </c>
      <c r="V179">
        <v>142.6</v>
      </c>
      <c r="W179">
        <v>139.5</v>
      </c>
      <c r="X179">
        <v>136.1</v>
      </c>
      <c r="Y179">
        <v>122</v>
      </c>
      <c r="Z179">
        <v>133.4</v>
      </c>
      <c r="AA179">
        <v>141.1</v>
      </c>
      <c r="AB179">
        <v>127.8</v>
      </c>
      <c r="AC179">
        <v>131.9</v>
      </c>
      <c r="AD179">
        <v>139.80000000000001</v>
      </c>
    </row>
    <row r="180" spans="1:30" x14ac:dyDescent="0.3">
      <c r="A180" t="s">
        <v>36</v>
      </c>
      <c r="B180">
        <v>2017</v>
      </c>
      <c r="C180" t="s">
        <v>54</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37</v>
      </c>
      <c r="B181">
        <v>2017</v>
      </c>
      <c r="C181" t="s">
        <v>54</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33</v>
      </c>
      <c r="B182">
        <v>2018</v>
      </c>
      <c r="C182" t="s">
        <v>42</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43</v>
      </c>
      <c r="V182">
        <v>142.30000000000001</v>
      </c>
      <c r="W182">
        <v>139.80000000000001</v>
      </c>
      <c r="X182">
        <v>136</v>
      </c>
      <c r="Y182">
        <v>122.7</v>
      </c>
      <c r="Z182">
        <v>134.30000000000001</v>
      </c>
      <c r="AA182">
        <v>141.6</v>
      </c>
      <c r="AB182">
        <v>128.6</v>
      </c>
      <c r="AC182">
        <v>132.30000000000001</v>
      </c>
      <c r="AD182">
        <v>139.30000000000001</v>
      </c>
    </row>
    <row r="183" spans="1:30" x14ac:dyDescent="0.3">
      <c r="A183" t="s">
        <v>36</v>
      </c>
      <c r="B183">
        <v>2018</v>
      </c>
      <c r="C183" t="s">
        <v>42</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37</v>
      </c>
      <c r="B184">
        <v>2018</v>
      </c>
      <c r="C184" t="s">
        <v>42</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33</v>
      </c>
      <c r="B185">
        <v>2018</v>
      </c>
      <c r="C185" t="s">
        <v>44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43</v>
      </c>
      <c r="V185">
        <v>142.4</v>
      </c>
      <c r="W185">
        <v>139.9</v>
      </c>
      <c r="X185">
        <v>136.19999999999999</v>
      </c>
      <c r="Y185">
        <v>123.3</v>
      </c>
      <c r="Z185">
        <v>134.30000000000001</v>
      </c>
      <c r="AA185">
        <v>141.5</v>
      </c>
      <c r="AB185">
        <v>128.80000000000001</v>
      </c>
      <c r="AC185">
        <v>132.5</v>
      </c>
      <c r="AD185">
        <v>138.5</v>
      </c>
    </row>
    <row r="186" spans="1:30" x14ac:dyDescent="0.3">
      <c r="A186" t="s">
        <v>36</v>
      </c>
      <c r="B186">
        <v>2018</v>
      </c>
      <c r="C186" t="s">
        <v>44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37</v>
      </c>
      <c r="B187">
        <v>2018</v>
      </c>
      <c r="C187" t="s">
        <v>44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33</v>
      </c>
      <c r="B188">
        <v>2018</v>
      </c>
      <c r="C188" t="s">
        <v>45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43</v>
      </c>
      <c r="V188">
        <v>142.6</v>
      </c>
      <c r="W188">
        <v>139.9</v>
      </c>
      <c r="X188">
        <v>136.69999999999999</v>
      </c>
      <c r="Y188">
        <v>124.6</v>
      </c>
      <c r="Z188">
        <v>135.1</v>
      </c>
      <c r="AA188">
        <v>142.69999999999999</v>
      </c>
      <c r="AB188">
        <v>129.30000000000001</v>
      </c>
      <c r="AC188">
        <v>133.30000000000001</v>
      </c>
      <c r="AD188">
        <v>138.69999999999999</v>
      </c>
    </row>
    <row r="189" spans="1:30" x14ac:dyDescent="0.3">
      <c r="A189" t="s">
        <v>36</v>
      </c>
      <c r="B189">
        <v>2018</v>
      </c>
      <c r="C189" t="s">
        <v>45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37</v>
      </c>
      <c r="B190">
        <v>2018</v>
      </c>
      <c r="C190" t="s">
        <v>45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33</v>
      </c>
      <c r="B191">
        <v>2018</v>
      </c>
      <c r="C191" t="s">
        <v>46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43</v>
      </c>
      <c r="V191">
        <v>143.80000000000001</v>
      </c>
      <c r="W191">
        <v>140.9</v>
      </c>
      <c r="X191">
        <v>137.6</v>
      </c>
      <c r="Y191">
        <v>125.3</v>
      </c>
      <c r="Z191">
        <v>136</v>
      </c>
      <c r="AA191">
        <v>143.69999999999999</v>
      </c>
      <c r="AB191">
        <v>130.4</v>
      </c>
      <c r="AC191">
        <v>134.19999999999999</v>
      </c>
      <c r="AD191">
        <v>139.1</v>
      </c>
    </row>
    <row r="192" spans="1:30" x14ac:dyDescent="0.3">
      <c r="A192" t="s">
        <v>36</v>
      </c>
      <c r="B192">
        <v>2018</v>
      </c>
      <c r="C192" t="s">
        <v>46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37</v>
      </c>
      <c r="B193">
        <v>2018</v>
      </c>
      <c r="C193" t="s">
        <v>46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33</v>
      </c>
      <c r="B194">
        <v>2018</v>
      </c>
      <c r="C194" t="s">
        <v>34</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43</v>
      </c>
      <c r="V194">
        <v>144.30000000000001</v>
      </c>
      <c r="W194">
        <v>141.80000000000001</v>
      </c>
      <c r="X194">
        <v>138.4</v>
      </c>
      <c r="Y194">
        <v>126.4</v>
      </c>
      <c r="Z194">
        <v>136.80000000000001</v>
      </c>
      <c r="AA194">
        <v>144.4</v>
      </c>
      <c r="AB194">
        <v>131.19999999999999</v>
      </c>
      <c r="AC194">
        <v>135.1</v>
      </c>
      <c r="AD194">
        <v>139.80000000000001</v>
      </c>
    </row>
    <row r="195" spans="1:30" x14ac:dyDescent="0.3">
      <c r="A195" t="s">
        <v>36</v>
      </c>
      <c r="B195">
        <v>2018</v>
      </c>
      <c r="C195" t="s">
        <v>34</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37</v>
      </c>
      <c r="B196">
        <v>2018</v>
      </c>
      <c r="C196" t="s">
        <v>34</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33</v>
      </c>
      <c r="B197">
        <v>2018</v>
      </c>
      <c r="C197" t="s">
        <v>47</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43</v>
      </c>
      <c r="V197">
        <v>145.1</v>
      </c>
      <c r="W197">
        <v>142.19999999999999</v>
      </c>
      <c r="X197">
        <v>138.4</v>
      </c>
      <c r="Y197">
        <v>127.4</v>
      </c>
      <c r="Z197">
        <v>137.80000000000001</v>
      </c>
      <c r="AA197">
        <v>145.1</v>
      </c>
      <c r="AB197">
        <v>131.4</v>
      </c>
      <c r="AC197">
        <v>135.6</v>
      </c>
      <c r="AD197">
        <v>140.5</v>
      </c>
    </row>
    <row r="198" spans="1:30" x14ac:dyDescent="0.3">
      <c r="A198" t="s">
        <v>36</v>
      </c>
      <c r="B198">
        <v>2018</v>
      </c>
      <c r="C198" t="s">
        <v>47</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37</v>
      </c>
      <c r="B199">
        <v>2018</v>
      </c>
      <c r="C199" t="s">
        <v>47</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33</v>
      </c>
      <c r="B200">
        <v>2018</v>
      </c>
      <c r="C200" t="s">
        <v>48</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43</v>
      </c>
      <c r="V200">
        <v>146.80000000000001</v>
      </c>
      <c r="W200">
        <v>143.1</v>
      </c>
      <c r="X200">
        <v>139</v>
      </c>
      <c r="Y200">
        <v>127.5</v>
      </c>
      <c r="Z200">
        <v>138.4</v>
      </c>
      <c r="AA200">
        <v>145.80000000000001</v>
      </c>
      <c r="AB200">
        <v>131.4</v>
      </c>
      <c r="AC200">
        <v>136</v>
      </c>
      <c r="AD200">
        <v>141.80000000000001</v>
      </c>
    </row>
    <row r="201" spans="1:30" x14ac:dyDescent="0.3">
      <c r="A201" t="s">
        <v>36</v>
      </c>
      <c r="B201">
        <v>2018</v>
      </c>
      <c r="C201" t="s">
        <v>48</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37</v>
      </c>
      <c r="B202">
        <v>2018</v>
      </c>
      <c r="C202" t="s">
        <v>48</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33</v>
      </c>
      <c r="B203">
        <v>2018</v>
      </c>
      <c r="C203" t="s">
        <v>49</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43</v>
      </c>
      <c r="V203">
        <v>147.69999999999999</v>
      </c>
      <c r="W203">
        <v>143.80000000000001</v>
      </c>
      <c r="X203">
        <v>139.4</v>
      </c>
      <c r="Y203">
        <v>128.30000000000001</v>
      </c>
      <c r="Z203">
        <v>138.6</v>
      </c>
      <c r="AA203">
        <v>146.9</v>
      </c>
      <c r="AB203">
        <v>131.30000000000001</v>
      </c>
      <c r="AC203">
        <v>136.6</v>
      </c>
      <c r="AD203">
        <v>142.5</v>
      </c>
    </row>
    <row r="204" spans="1:30" x14ac:dyDescent="0.3">
      <c r="A204" t="s">
        <v>36</v>
      </c>
      <c r="B204">
        <v>2018</v>
      </c>
      <c r="C204" t="s">
        <v>49</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37</v>
      </c>
      <c r="B205">
        <v>2018</v>
      </c>
      <c r="C205" t="s">
        <v>49</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33</v>
      </c>
      <c r="B206">
        <v>2018</v>
      </c>
      <c r="C206" t="s">
        <v>50</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43</v>
      </c>
      <c r="V206">
        <v>149</v>
      </c>
      <c r="W206">
        <v>144</v>
      </c>
      <c r="X206">
        <v>140</v>
      </c>
      <c r="Y206">
        <v>129.9</v>
      </c>
      <c r="Z206">
        <v>140</v>
      </c>
      <c r="AA206">
        <v>147.6</v>
      </c>
      <c r="AB206">
        <v>132</v>
      </c>
      <c r="AC206">
        <v>137.4</v>
      </c>
      <c r="AD206">
        <v>142.1</v>
      </c>
    </row>
    <row r="207" spans="1:30" x14ac:dyDescent="0.3">
      <c r="A207" t="s">
        <v>36</v>
      </c>
      <c r="B207">
        <v>2018</v>
      </c>
      <c r="C207" t="s">
        <v>50</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37</v>
      </c>
      <c r="B208">
        <v>2018</v>
      </c>
      <c r="C208" t="s">
        <v>50</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33</v>
      </c>
      <c r="B209">
        <v>2018</v>
      </c>
      <c r="C209" t="s">
        <v>51</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43</v>
      </c>
      <c r="V209">
        <v>149.69999999999999</v>
      </c>
      <c r="W209">
        <v>147.5</v>
      </c>
      <c r="X209">
        <v>144.80000000000001</v>
      </c>
      <c r="Y209">
        <v>130.80000000000001</v>
      </c>
      <c r="Z209">
        <v>140.1</v>
      </c>
      <c r="AA209">
        <v>148</v>
      </c>
      <c r="AB209">
        <v>134.4</v>
      </c>
      <c r="AC209">
        <v>139.80000000000001</v>
      </c>
      <c r="AD209">
        <v>142.19999999999999</v>
      </c>
    </row>
    <row r="210" spans="1:30" x14ac:dyDescent="0.3">
      <c r="A210" t="s">
        <v>36</v>
      </c>
      <c r="B210">
        <v>2018</v>
      </c>
      <c r="C210" t="s">
        <v>51</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37</v>
      </c>
      <c r="B211">
        <v>2018</v>
      </c>
      <c r="C211" t="s">
        <v>51</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33</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43</v>
      </c>
      <c r="V212">
        <v>150.30000000000001</v>
      </c>
      <c r="W212">
        <v>148</v>
      </c>
      <c r="X212">
        <v>145.4</v>
      </c>
      <c r="Y212">
        <v>130.30000000000001</v>
      </c>
      <c r="Z212">
        <v>143.1</v>
      </c>
      <c r="AA212">
        <v>150.19999999999999</v>
      </c>
      <c r="AB212">
        <v>133.1</v>
      </c>
      <c r="AC212">
        <v>140.1</v>
      </c>
      <c r="AD212">
        <v>142.4</v>
      </c>
    </row>
    <row r="213" spans="1:30" x14ac:dyDescent="0.3">
      <c r="A213" t="s">
        <v>36</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37</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33</v>
      </c>
      <c r="B215">
        <v>2018</v>
      </c>
      <c r="C215" t="s">
        <v>54</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43</v>
      </c>
      <c r="V215">
        <v>149</v>
      </c>
      <c r="W215">
        <v>149.5</v>
      </c>
      <c r="X215">
        <v>149.6</v>
      </c>
      <c r="Y215">
        <v>128.9</v>
      </c>
      <c r="Z215">
        <v>143.30000000000001</v>
      </c>
      <c r="AA215">
        <v>155.1</v>
      </c>
      <c r="AB215">
        <v>133.19999999999999</v>
      </c>
      <c r="AC215">
        <v>141.6</v>
      </c>
      <c r="AD215">
        <v>141.9</v>
      </c>
    </row>
    <row r="216" spans="1:30" x14ac:dyDescent="0.3">
      <c r="A216" t="s">
        <v>36</v>
      </c>
      <c r="B216">
        <v>2018</v>
      </c>
      <c r="C216" t="s">
        <v>54</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37</v>
      </c>
      <c r="B217">
        <v>2018</v>
      </c>
      <c r="C217" t="s">
        <v>54</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33</v>
      </c>
      <c r="B218">
        <v>2019</v>
      </c>
      <c r="C218" t="s">
        <v>42</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43</v>
      </c>
      <c r="V218">
        <v>146.19999999999999</v>
      </c>
      <c r="W218">
        <v>150.1</v>
      </c>
      <c r="X218">
        <v>149.6</v>
      </c>
      <c r="Y218">
        <v>128.6</v>
      </c>
      <c r="Z218">
        <v>142.9</v>
      </c>
      <c r="AA218">
        <v>155.19999999999999</v>
      </c>
      <c r="AB218">
        <v>133.5</v>
      </c>
      <c r="AC218">
        <v>141.69999999999999</v>
      </c>
      <c r="AD218">
        <v>141</v>
      </c>
    </row>
    <row r="219" spans="1:30" x14ac:dyDescent="0.3">
      <c r="A219" t="s">
        <v>36</v>
      </c>
      <c r="B219">
        <v>2019</v>
      </c>
      <c r="C219" t="s">
        <v>42</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37</v>
      </c>
      <c r="B220">
        <v>2019</v>
      </c>
      <c r="C220" t="s">
        <v>42</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33</v>
      </c>
      <c r="B221">
        <v>2019</v>
      </c>
      <c r="C221" t="s">
        <v>44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43</v>
      </c>
      <c r="V221">
        <v>145.30000000000001</v>
      </c>
      <c r="W221">
        <v>150.1</v>
      </c>
      <c r="X221">
        <v>149.9</v>
      </c>
      <c r="Y221">
        <v>129.19999999999999</v>
      </c>
      <c r="Z221">
        <v>143.4</v>
      </c>
      <c r="AA221">
        <v>155.5</v>
      </c>
      <c r="AB221">
        <v>134.9</v>
      </c>
      <c r="AC221">
        <v>142.19999999999999</v>
      </c>
      <c r="AD221">
        <v>141</v>
      </c>
    </row>
    <row r="222" spans="1:30" x14ac:dyDescent="0.3">
      <c r="A222" t="s">
        <v>36</v>
      </c>
      <c r="B222">
        <v>2019</v>
      </c>
      <c r="C222" t="s">
        <v>44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37</v>
      </c>
      <c r="B223">
        <v>2019</v>
      </c>
      <c r="C223" t="s">
        <v>44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33</v>
      </c>
      <c r="B224">
        <v>2019</v>
      </c>
      <c r="C224" t="s">
        <v>45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43</v>
      </c>
      <c r="V224">
        <v>146.4</v>
      </c>
      <c r="W224">
        <v>150</v>
      </c>
      <c r="X224">
        <v>150.4</v>
      </c>
      <c r="Y224">
        <v>129.9</v>
      </c>
      <c r="Z224">
        <v>143.80000000000001</v>
      </c>
      <c r="AA224">
        <v>155.5</v>
      </c>
      <c r="AB224">
        <v>134</v>
      </c>
      <c r="AC224">
        <v>142.4</v>
      </c>
      <c r="AD224">
        <v>141.19999999999999</v>
      </c>
    </row>
    <row r="225" spans="1:30" x14ac:dyDescent="0.3">
      <c r="A225" t="s">
        <v>36</v>
      </c>
      <c r="B225">
        <v>2019</v>
      </c>
      <c r="C225" t="s">
        <v>45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37</v>
      </c>
      <c r="B226">
        <v>2019</v>
      </c>
      <c r="C226" t="s">
        <v>45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33</v>
      </c>
      <c r="B227">
        <v>2019</v>
      </c>
      <c r="C227" t="s">
        <v>34</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43</v>
      </c>
      <c r="V227">
        <v>146.9</v>
      </c>
      <c r="W227">
        <v>149.5</v>
      </c>
      <c r="X227">
        <v>151.30000000000001</v>
      </c>
      <c r="Y227">
        <v>130.19999999999999</v>
      </c>
      <c r="Z227">
        <v>145.9</v>
      </c>
      <c r="AA227">
        <v>156.69999999999999</v>
      </c>
      <c r="AB227">
        <v>133.9</v>
      </c>
      <c r="AC227">
        <v>142.9</v>
      </c>
      <c r="AD227">
        <v>142.4</v>
      </c>
    </row>
    <row r="228" spans="1:30" x14ac:dyDescent="0.3">
      <c r="A228" t="s">
        <v>36</v>
      </c>
      <c r="B228">
        <v>2019</v>
      </c>
      <c r="C228" t="s">
        <v>34</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37</v>
      </c>
      <c r="B229">
        <v>2019</v>
      </c>
      <c r="C229" t="s">
        <v>34</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33</v>
      </c>
      <c r="B230">
        <v>2019</v>
      </c>
      <c r="C230" t="s">
        <v>47</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43</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36</v>
      </c>
      <c r="B231">
        <v>2019</v>
      </c>
      <c r="C231" t="s">
        <v>47</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37</v>
      </c>
      <c r="B232">
        <v>2019</v>
      </c>
      <c r="C232" t="s">
        <v>47</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33</v>
      </c>
      <c r="B233">
        <v>2019</v>
      </c>
      <c r="C233" t="s">
        <v>48</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43</v>
      </c>
      <c r="V233">
        <v>146.80000000000001</v>
      </c>
      <c r="W233">
        <v>150</v>
      </c>
      <c r="X233">
        <v>152.19999999999999</v>
      </c>
      <c r="Y233">
        <v>131.19999999999999</v>
      </c>
      <c r="Z233">
        <v>147.5</v>
      </c>
      <c r="AA233">
        <v>159.1</v>
      </c>
      <c r="AB233">
        <v>136.1</v>
      </c>
      <c r="AC233">
        <v>144.19999999999999</v>
      </c>
      <c r="AD233">
        <v>144.9</v>
      </c>
    </row>
    <row r="234" spans="1:30" x14ac:dyDescent="0.3">
      <c r="A234" t="s">
        <v>36</v>
      </c>
      <c r="B234">
        <v>2019</v>
      </c>
      <c r="C234" t="s">
        <v>48</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37</v>
      </c>
      <c r="B235">
        <v>2019</v>
      </c>
      <c r="C235" t="s">
        <v>48</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33</v>
      </c>
      <c r="B236">
        <v>2019</v>
      </c>
      <c r="C236" t="s">
        <v>49</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43</v>
      </c>
      <c r="V236">
        <v>146.4</v>
      </c>
      <c r="W236">
        <v>150.19999999999999</v>
      </c>
      <c r="X236">
        <v>152.69999999999999</v>
      </c>
      <c r="Y236">
        <v>131.4</v>
      </c>
      <c r="Z236">
        <v>148</v>
      </c>
      <c r="AA236">
        <v>159.69999999999999</v>
      </c>
      <c r="AB236">
        <v>138.80000000000001</v>
      </c>
      <c r="AC236">
        <v>144.9</v>
      </c>
      <c r="AD236">
        <v>145.69999999999999</v>
      </c>
    </row>
    <row r="237" spans="1:30" x14ac:dyDescent="0.3">
      <c r="A237" t="s">
        <v>36</v>
      </c>
      <c r="B237">
        <v>2019</v>
      </c>
      <c r="C237" t="s">
        <v>49</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37</v>
      </c>
      <c r="B238">
        <v>2019</v>
      </c>
      <c r="C238" t="s">
        <v>49</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33</v>
      </c>
      <c r="B239">
        <v>2019</v>
      </c>
      <c r="C239" t="s">
        <v>50</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43</v>
      </c>
      <c r="V239">
        <v>146.9</v>
      </c>
      <c r="W239">
        <v>150.30000000000001</v>
      </c>
      <c r="X239">
        <v>153.4</v>
      </c>
      <c r="Y239">
        <v>131.6</v>
      </c>
      <c r="Z239">
        <v>148.30000000000001</v>
      </c>
      <c r="AA239">
        <v>160.19999999999999</v>
      </c>
      <c r="AB239">
        <v>140.19999999999999</v>
      </c>
      <c r="AC239">
        <v>145.4</v>
      </c>
      <c r="AD239">
        <v>146.69999999999999</v>
      </c>
    </row>
    <row r="240" spans="1:30" x14ac:dyDescent="0.3">
      <c r="A240" t="s">
        <v>36</v>
      </c>
      <c r="B240">
        <v>2019</v>
      </c>
      <c r="C240" t="s">
        <v>50</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37</v>
      </c>
      <c r="B241">
        <v>2019</v>
      </c>
      <c r="C241" t="s">
        <v>50</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33</v>
      </c>
      <c r="B242">
        <v>2019</v>
      </c>
      <c r="C242" t="s">
        <v>51</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43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36</v>
      </c>
      <c r="B243">
        <v>2019</v>
      </c>
      <c r="C243" t="s">
        <v>51</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37</v>
      </c>
      <c r="B244">
        <v>2019</v>
      </c>
      <c r="C244" t="s">
        <v>51</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33</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43</v>
      </c>
      <c r="V245">
        <v>148.4</v>
      </c>
      <c r="W245">
        <v>150.9</v>
      </c>
      <c r="X245">
        <v>154.30000000000001</v>
      </c>
      <c r="Y245">
        <v>132.1</v>
      </c>
      <c r="Z245">
        <v>149.1</v>
      </c>
      <c r="AA245">
        <v>160.80000000000001</v>
      </c>
      <c r="AB245">
        <v>140.6</v>
      </c>
      <c r="AC245">
        <v>146.1</v>
      </c>
      <c r="AD245">
        <v>149.9</v>
      </c>
    </row>
    <row r="246" spans="1:30" x14ac:dyDescent="0.3">
      <c r="A246" t="s">
        <v>36</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37</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33</v>
      </c>
      <c r="B248">
        <v>2019</v>
      </c>
      <c r="C248" t="s">
        <v>54</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43</v>
      </c>
      <c r="V248">
        <v>149.9</v>
      </c>
      <c r="W248">
        <v>151.19999999999999</v>
      </c>
      <c r="X248">
        <v>154.80000000000001</v>
      </c>
      <c r="Y248">
        <v>135</v>
      </c>
      <c r="Z248">
        <v>149.5</v>
      </c>
      <c r="AA248">
        <v>161.1</v>
      </c>
      <c r="AB248">
        <v>140.6</v>
      </c>
      <c r="AC248">
        <v>147.1</v>
      </c>
      <c r="AD248">
        <v>152.30000000000001</v>
      </c>
    </row>
    <row r="249" spans="1:30" x14ac:dyDescent="0.3">
      <c r="A249" t="s">
        <v>36</v>
      </c>
      <c r="B249">
        <v>2019</v>
      </c>
      <c r="C249" t="s">
        <v>54</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37</v>
      </c>
      <c r="B250">
        <v>2019</v>
      </c>
      <c r="C250" t="s">
        <v>54</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33</v>
      </c>
      <c r="B251">
        <v>2020</v>
      </c>
      <c r="C251" t="s">
        <v>42</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43</v>
      </c>
      <c r="V251">
        <v>150.4</v>
      </c>
      <c r="W251">
        <v>151.69999999999999</v>
      </c>
      <c r="X251">
        <v>155.69999999999999</v>
      </c>
      <c r="Y251">
        <v>136.30000000000001</v>
      </c>
      <c r="Z251">
        <v>150.1</v>
      </c>
      <c r="AA251">
        <v>161.69999999999999</v>
      </c>
      <c r="AB251">
        <v>142.5</v>
      </c>
      <c r="AC251">
        <v>148.1</v>
      </c>
      <c r="AD251">
        <v>151.9</v>
      </c>
    </row>
    <row r="252" spans="1:30" x14ac:dyDescent="0.3">
      <c r="A252" t="s">
        <v>36</v>
      </c>
      <c r="B252">
        <v>2020</v>
      </c>
      <c r="C252" t="s">
        <v>42</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37</v>
      </c>
      <c r="B253">
        <v>2020</v>
      </c>
      <c r="C253" t="s">
        <v>42</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33</v>
      </c>
      <c r="B254">
        <v>2020</v>
      </c>
      <c r="C254" t="s">
        <v>44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43</v>
      </c>
      <c r="V254">
        <v>152.30000000000001</v>
      </c>
      <c r="W254">
        <v>151.80000000000001</v>
      </c>
      <c r="X254">
        <v>156.19999999999999</v>
      </c>
      <c r="Y254">
        <v>136</v>
      </c>
      <c r="Z254">
        <v>150.4</v>
      </c>
      <c r="AA254">
        <v>161.9</v>
      </c>
      <c r="AB254">
        <v>143.4</v>
      </c>
      <c r="AC254">
        <v>148.4</v>
      </c>
      <c r="AD254">
        <v>150.4</v>
      </c>
    </row>
    <row r="255" spans="1:30" x14ac:dyDescent="0.3">
      <c r="A255" t="s">
        <v>36</v>
      </c>
      <c r="B255">
        <v>2020</v>
      </c>
      <c r="C255" t="s">
        <v>44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37</v>
      </c>
      <c r="B256">
        <v>2020</v>
      </c>
      <c r="C256" t="s">
        <v>44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33</v>
      </c>
      <c r="B257">
        <v>2020</v>
      </c>
      <c r="C257" t="s">
        <v>45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43</v>
      </c>
      <c r="V257">
        <v>153.4</v>
      </c>
      <c r="W257">
        <v>151.5</v>
      </c>
      <c r="X257">
        <v>156.69999999999999</v>
      </c>
      <c r="Y257">
        <v>135.80000000000001</v>
      </c>
      <c r="Z257">
        <v>151.19999999999999</v>
      </c>
      <c r="AA257">
        <v>161.19999999999999</v>
      </c>
      <c r="AB257">
        <v>145.1</v>
      </c>
      <c r="AC257">
        <v>148.6</v>
      </c>
      <c r="AD257">
        <v>149.80000000000001</v>
      </c>
    </row>
    <row r="258" spans="1:30" x14ac:dyDescent="0.3">
      <c r="A258" t="s">
        <v>36</v>
      </c>
      <c r="B258">
        <v>2020</v>
      </c>
      <c r="C258" t="s">
        <v>45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37</v>
      </c>
      <c r="B259">
        <v>2020</v>
      </c>
      <c r="C259" t="s">
        <v>45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33</v>
      </c>
      <c r="B260">
        <v>2020</v>
      </c>
      <c r="C260" t="s">
        <v>46</v>
      </c>
      <c r="D260">
        <v>147.19999999999999</v>
      </c>
      <c r="E260" t="s">
        <v>43</v>
      </c>
      <c r="F260">
        <v>146.9</v>
      </c>
      <c r="G260">
        <v>155.6</v>
      </c>
      <c r="H260">
        <v>137.1</v>
      </c>
      <c r="I260">
        <v>147.30000000000001</v>
      </c>
      <c r="J260">
        <v>162.69999999999999</v>
      </c>
      <c r="K260">
        <v>150.19999999999999</v>
      </c>
      <c r="L260">
        <v>119.8</v>
      </c>
      <c r="M260">
        <v>158.69999999999999</v>
      </c>
      <c r="N260">
        <v>139.19999999999999</v>
      </c>
      <c r="O260" t="s">
        <v>43</v>
      </c>
      <c r="P260">
        <v>150.1</v>
      </c>
      <c r="Q260" t="s">
        <v>43</v>
      </c>
      <c r="R260" t="s">
        <v>43</v>
      </c>
      <c r="S260" t="s">
        <v>43</v>
      </c>
      <c r="T260" t="s">
        <v>43</v>
      </c>
      <c r="U260" t="s">
        <v>43</v>
      </c>
      <c r="V260">
        <v>148.4</v>
      </c>
      <c r="W260" t="s">
        <v>43</v>
      </c>
      <c r="X260">
        <v>154.30000000000001</v>
      </c>
      <c r="Y260" t="s">
        <v>43</v>
      </c>
      <c r="Z260" t="s">
        <v>43</v>
      </c>
      <c r="AA260" t="s">
        <v>43</v>
      </c>
      <c r="AB260" t="s">
        <v>43</v>
      </c>
      <c r="AC260" t="s">
        <v>43</v>
      </c>
      <c r="AD260" t="s">
        <v>43</v>
      </c>
    </row>
    <row r="261" spans="1:30" x14ac:dyDescent="0.3">
      <c r="A261" t="s">
        <v>36</v>
      </c>
      <c r="B261">
        <v>2020</v>
      </c>
      <c r="C261" t="s">
        <v>46</v>
      </c>
      <c r="D261">
        <v>151.80000000000001</v>
      </c>
      <c r="E261" t="s">
        <v>43</v>
      </c>
      <c r="F261">
        <v>151.9</v>
      </c>
      <c r="G261">
        <v>155.5</v>
      </c>
      <c r="H261">
        <v>131.6</v>
      </c>
      <c r="I261">
        <v>152.9</v>
      </c>
      <c r="J261">
        <v>180</v>
      </c>
      <c r="K261">
        <v>150.80000000000001</v>
      </c>
      <c r="L261">
        <v>121.2</v>
      </c>
      <c r="M261">
        <v>154</v>
      </c>
      <c r="N261">
        <v>133.5</v>
      </c>
      <c r="O261" t="s">
        <v>43</v>
      </c>
      <c r="P261">
        <v>153.5</v>
      </c>
      <c r="Q261" t="s">
        <v>43</v>
      </c>
      <c r="R261" t="s">
        <v>43</v>
      </c>
      <c r="S261" t="s">
        <v>43</v>
      </c>
      <c r="T261" t="s">
        <v>43</v>
      </c>
      <c r="U261">
        <v>155.6</v>
      </c>
      <c r="V261">
        <v>137.1</v>
      </c>
      <c r="W261" t="s">
        <v>43</v>
      </c>
      <c r="X261">
        <v>144.80000000000001</v>
      </c>
      <c r="Y261" t="s">
        <v>43</v>
      </c>
      <c r="Z261" t="s">
        <v>43</v>
      </c>
      <c r="AA261" t="s">
        <v>43</v>
      </c>
      <c r="AB261" t="s">
        <v>43</v>
      </c>
      <c r="AC261" t="s">
        <v>43</v>
      </c>
      <c r="AD261" t="s">
        <v>43</v>
      </c>
    </row>
    <row r="262" spans="1:30" x14ac:dyDescent="0.3">
      <c r="A262" t="s">
        <v>37</v>
      </c>
      <c r="B262">
        <v>2020</v>
      </c>
      <c r="C262" t="s">
        <v>46</v>
      </c>
      <c r="D262">
        <v>148.69999999999999</v>
      </c>
      <c r="E262" t="s">
        <v>43</v>
      </c>
      <c r="F262">
        <v>148.80000000000001</v>
      </c>
      <c r="G262">
        <v>155.6</v>
      </c>
      <c r="H262">
        <v>135.1</v>
      </c>
      <c r="I262">
        <v>149.9</v>
      </c>
      <c r="J262">
        <v>168.6</v>
      </c>
      <c r="K262">
        <v>150.4</v>
      </c>
      <c r="L262">
        <v>120.3</v>
      </c>
      <c r="M262">
        <v>157.1</v>
      </c>
      <c r="N262">
        <v>136.80000000000001</v>
      </c>
      <c r="O262" t="s">
        <v>43</v>
      </c>
      <c r="P262">
        <v>151.4</v>
      </c>
      <c r="Q262" t="s">
        <v>43</v>
      </c>
      <c r="R262" t="s">
        <v>43</v>
      </c>
      <c r="S262" t="s">
        <v>43</v>
      </c>
      <c r="T262" t="s">
        <v>43</v>
      </c>
      <c r="U262">
        <v>155.6</v>
      </c>
      <c r="V262">
        <v>144.1</v>
      </c>
      <c r="W262" t="s">
        <v>43</v>
      </c>
      <c r="X262">
        <v>150.69999999999999</v>
      </c>
      <c r="Y262" t="s">
        <v>43</v>
      </c>
      <c r="Z262" t="s">
        <v>43</v>
      </c>
      <c r="AA262" t="s">
        <v>43</v>
      </c>
      <c r="AB262" t="s">
        <v>43</v>
      </c>
      <c r="AC262" t="s">
        <v>43</v>
      </c>
      <c r="AD262" t="s">
        <v>43</v>
      </c>
    </row>
    <row r="263" spans="1:30" x14ac:dyDescent="0.3">
      <c r="A263" t="s">
        <v>33</v>
      </c>
      <c r="B263">
        <v>2020</v>
      </c>
      <c r="C263" t="s">
        <v>34</v>
      </c>
      <c r="D263" t="s">
        <v>43</v>
      </c>
      <c r="E263" t="s">
        <v>43</v>
      </c>
      <c r="F263" t="s">
        <v>43</v>
      </c>
      <c r="G263" t="s">
        <v>43</v>
      </c>
      <c r="H263" t="s">
        <v>43</v>
      </c>
      <c r="I263" t="s">
        <v>43</v>
      </c>
      <c r="J263" t="s">
        <v>43</v>
      </c>
      <c r="K263" t="s">
        <v>43</v>
      </c>
      <c r="L263" t="s">
        <v>43</v>
      </c>
      <c r="M263" t="s">
        <v>43</v>
      </c>
      <c r="N263" t="s">
        <v>43</v>
      </c>
      <c r="O263" t="s">
        <v>43</v>
      </c>
      <c r="P263" t="s">
        <v>43</v>
      </c>
      <c r="Q263" t="s">
        <v>43</v>
      </c>
      <c r="R263" t="s">
        <v>43</v>
      </c>
      <c r="S263" t="s">
        <v>43</v>
      </c>
      <c r="T263" t="s">
        <v>43</v>
      </c>
      <c r="U263" t="s">
        <v>43</v>
      </c>
      <c r="V263" t="s">
        <v>43</v>
      </c>
      <c r="W263" t="s">
        <v>43</v>
      </c>
      <c r="X263" t="s">
        <v>43</v>
      </c>
      <c r="Y263" t="s">
        <v>43</v>
      </c>
      <c r="Z263" t="s">
        <v>43</v>
      </c>
      <c r="AA263" t="s">
        <v>43</v>
      </c>
      <c r="AB263" t="s">
        <v>43</v>
      </c>
      <c r="AC263" t="s">
        <v>43</v>
      </c>
      <c r="AD263" t="s">
        <v>43</v>
      </c>
    </row>
    <row r="264" spans="1:30" x14ac:dyDescent="0.3">
      <c r="A264" t="s">
        <v>36</v>
      </c>
      <c r="B264">
        <v>2020</v>
      </c>
      <c r="C264" t="s">
        <v>34</v>
      </c>
      <c r="D264" t="s">
        <v>43</v>
      </c>
      <c r="E264" t="s">
        <v>43</v>
      </c>
      <c r="F264" t="s">
        <v>43</v>
      </c>
      <c r="G264" t="s">
        <v>43</v>
      </c>
      <c r="H264" t="s">
        <v>43</v>
      </c>
      <c r="I264" t="s">
        <v>43</v>
      </c>
      <c r="J264" t="s">
        <v>43</v>
      </c>
      <c r="K264" t="s">
        <v>43</v>
      </c>
      <c r="L264" t="s">
        <v>43</v>
      </c>
      <c r="M264" t="s">
        <v>43</v>
      </c>
      <c r="N264" t="s">
        <v>43</v>
      </c>
      <c r="O264" t="s">
        <v>43</v>
      </c>
      <c r="P264" t="s">
        <v>43</v>
      </c>
      <c r="Q264" t="s">
        <v>43</v>
      </c>
      <c r="R264" t="s">
        <v>43</v>
      </c>
      <c r="S264" t="s">
        <v>43</v>
      </c>
      <c r="T264" t="s">
        <v>43</v>
      </c>
      <c r="U264" t="s">
        <v>43</v>
      </c>
      <c r="V264" t="s">
        <v>43</v>
      </c>
      <c r="W264" t="s">
        <v>43</v>
      </c>
      <c r="X264" t="s">
        <v>43</v>
      </c>
      <c r="Y264" t="s">
        <v>43</v>
      </c>
      <c r="Z264" t="s">
        <v>43</v>
      </c>
      <c r="AA264" t="s">
        <v>43</v>
      </c>
      <c r="AB264" t="s">
        <v>43</v>
      </c>
      <c r="AC264" t="s">
        <v>43</v>
      </c>
      <c r="AD264" t="s">
        <v>43</v>
      </c>
    </row>
    <row r="265" spans="1:30" x14ac:dyDescent="0.3">
      <c r="A265" t="s">
        <v>37</v>
      </c>
      <c r="B265">
        <v>2020</v>
      </c>
      <c r="C265" t="s">
        <v>34</v>
      </c>
      <c r="D265" t="s">
        <v>43</v>
      </c>
      <c r="E265" t="s">
        <v>43</v>
      </c>
      <c r="F265" t="s">
        <v>43</v>
      </c>
      <c r="G265" t="s">
        <v>43</v>
      </c>
      <c r="H265" t="s">
        <v>43</v>
      </c>
      <c r="I265" t="s">
        <v>43</v>
      </c>
      <c r="J265" t="s">
        <v>43</v>
      </c>
      <c r="K265" t="s">
        <v>43</v>
      </c>
      <c r="L265" t="s">
        <v>43</v>
      </c>
      <c r="M265" t="s">
        <v>43</v>
      </c>
      <c r="N265" t="s">
        <v>43</v>
      </c>
      <c r="O265" t="s">
        <v>43</v>
      </c>
      <c r="P265" t="s">
        <v>43</v>
      </c>
      <c r="Q265" t="s">
        <v>43</v>
      </c>
      <c r="R265" t="s">
        <v>43</v>
      </c>
      <c r="S265" t="s">
        <v>43</v>
      </c>
      <c r="T265" t="s">
        <v>43</v>
      </c>
      <c r="U265" t="s">
        <v>43</v>
      </c>
      <c r="V265" t="s">
        <v>43</v>
      </c>
      <c r="W265" t="s">
        <v>43</v>
      </c>
      <c r="X265" t="s">
        <v>43</v>
      </c>
      <c r="Y265" t="s">
        <v>43</v>
      </c>
      <c r="Z265" t="s">
        <v>43</v>
      </c>
      <c r="AA265" t="s">
        <v>43</v>
      </c>
      <c r="AB265" t="s">
        <v>43</v>
      </c>
      <c r="AC265" t="s">
        <v>43</v>
      </c>
      <c r="AD265" t="s">
        <v>43</v>
      </c>
    </row>
    <row r="266" spans="1:30" x14ac:dyDescent="0.3">
      <c r="A266" t="s">
        <v>33</v>
      </c>
      <c r="B266">
        <v>2020</v>
      </c>
      <c r="C266" t="s">
        <v>47</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43</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36</v>
      </c>
      <c r="B267">
        <v>2020</v>
      </c>
      <c r="C267" t="s">
        <v>47</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37</v>
      </c>
      <c r="B268">
        <v>2020</v>
      </c>
      <c r="C268" t="s">
        <v>47</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33</v>
      </c>
      <c r="B269">
        <v>2020</v>
      </c>
      <c r="C269" t="s">
        <v>48</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43</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36</v>
      </c>
      <c r="B270">
        <v>2020</v>
      </c>
      <c r="C270" t="s">
        <v>48</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37</v>
      </c>
      <c r="B271">
        <v>2020</v>
      </c>
      <c r="C271" t="s">
        <v>48</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33</v>
      </c>
      <c r="B272">
        <v>2020</v>
      </c>
      <c r="C272" t="s">
        <v>49</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43</v>
      </c>
      <c r="V272">
        <v>145.80000000000001</v>
      </c>
      <c r="W272">
        <v>151.9</v>
      </c>
      <c r="X272">
        <v>158.80000000000001</v>
      </c>
      <c r="Y272">
        <v>143.6</v>
      </c>
      <c r="Z272">
        <v>152.19999999999999</v>
      </c>
      <c r="AA272">
        <v>162.69999999999999</v>
      </c>
      <c r="AB272">
        <v>153.6</v>
      </c>
      <c r="AC272">
        <v>153</v>
      </c>
      <c r="AD272">
        <v>154.69999999999999</v>
      </c>
    </row>
    <row r="273" spans="1:30" x14ac:dyDescent="0.3">
      <c r="A273" t="s">
        <v>36</v>
      </c>
      <c r="B273">
        <v>2020</v>
      </c>
      <c r="C273" t="s">
        <v>49</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37</v>
      </c>
      <c r="B274">
        <v>2020</v>
      </c>
      <c r="C274" t="s">
        <v>49</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33</v>
      </c>
      <c r="B275">
        <v>2020</v>
      </c>
      <c r="C275" t="s">
        <v>50</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43</v>
      </c>
      <c r="V275">
        <v>146.4</v>
      </c>
      <c r="W275">
        <v>151.6</v>
      </c>
      <c r="X275">
        <v>159.1</v>
      </c>
      <c r="Y275">
        <v>144.6</v>
      </c>
      <c r="Z275">
        <v>152.80000000000001</v>
      </c>
      <c r="AA275">
        <v>161.1</v>
      </c>
      <c r="AB275">
        <v>157.4</v>
      </c>
      <c r="AC275">
        <v>153.69999999999999</v>
      </c>
      <c r="AD275">
        <v>155.4</v>
      </c>
    </row>
    <row r="276" spans="1:30" x14ac:dyDescent="0.3">
      <c r="A276" t="s">
        <v>36</v>
      </c>
      <c r="B276">
        <v>2020</v>
      </c>
      <c r="C276" t="s">
        <v>50</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37</v>
      </c>
      <c r="B277">
        <v>2020</v>
      </c>
      <c r="C277" t="s">
        <v>50</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33</v>
      </c>
      <c r="B278">
        <v>2020</v>
      </c>
      <c r="C278" t="s">
        <v>51</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43</v>
      </c>
      <c r="V278">
        <v>146.80000000000001</v>
      </c>
      <c r="W278">
        <v>152</v>
      </c>
      <c r="X278">
        <v>159.5</v>
      </c>
      <c r="Y278">
        <v>146.4</v>
      </c>
      <c r="Z278">
        <v>152.4</v>
      </c>
      <c r="AA278">
        <v>162.5</v>
      </c>
      <c r="AB278">
        <v>156.19999999999999</v>
      </c>
      <c r="AC278">
        <v>154.30000000000001</v>
      </c>
      <c r="AD278">
        <v>157.5</v>
      </c>
    </row>
    <row r="279" spans="1:30" x14ac:dyDescent="0.3">
      <c r="A279" t="s">
        <v>36</v>
      </c>
      <c r="B279">
        <v>2020</v>
      </c>
      <c r="C279" t="s">
        <v>51</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37</v>
      </c>
      <c r="B280">
        <v>2020</v>
      </c>
      <c r="C280" t="s">
        <v>51</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33</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43</v>
      </c>
      <c r="V281">
        <v>147.5</v>
      </c>
      <c r="W281">
        <v>152.80000000000001</v>
      </c>
      <c r="X281">
        <v>160.4</v>
      </c>
      <c r="Y281">
        <v>146.1</v>
      </c>
      <c r="Z281">
        <v>153.6</v>
      </c>
      <c r="AA281">
        <v>161.6</v>
      </c>
      <c r="AB281">
        <v>156.19999999999999</v>
      </c>
      <c r="AC281">
        <v>154.5</v>
      </c>
      <c r="AD281">
        <v>159.80000000000001</v>
      </c>
    </row>
    <row r="282" spans="1:30" x14ac:dyDescent="0.3">
      <c r="A282" t="s">
        <v>36</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37</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33</v>
      </c>
      <c r="B284">
        <v>2020</v>
      </c>
      <c r="C284" t="s">
        <v>54</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43</v>
      </c>
      <c r="V284">
        <v>148.69999999999999</v>
      </c>
      <c r="W284">
        <v>153.4</v>
      </c>
      <c r="X284">
        <v>161.6</v>
      </c>
      <c r="Y284">
        <v>146.4</v>
      </c>
      <c r="Z284">
        <v>153.9</v>
      </c>
      <c r="AA284">
        <v>162.9</v>
      </c>
      <c r="AB284">
        <v>156.6</v>
      </c>
      <c r="AC284">
        <v>155.19999999999999</v>
      </c>
      <c r="AD284">
        <v>160.69999999999999</v>
      </c>
    </row>
    <row r="285" spans="1:30" x14ac:dyDescent="0.3">
      <c r="A285" t="s">
        <v>36</v>
      </c>
      <c r="B285">
        <v>2020</v>
      </c>
      <c r="C285" t="s">
        <v>54</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37</v>
      </c>
      <c r="B286">
        <v>2020</v>
      </c>
      <c r="C286" t="s">
        <v>54</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33</v>
      </c>
      <c r="B287">
        <v>2021</v>
      </c>
      <c r="C287" t="s">
        <v>42</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43</v>
      </c>
      <c r="V287">
        <v>150.9</v>
      </c>
      <c r="W287">
        <v>153.9</v>
      </c>
      <c r="X287">
        <v>162.5</v>
      </c>
      <c r="Y287">
        <v>147.5</v>
      </c>
      <c r="Z287">
        <v>155.1</v>
      </c>
      <c r="AA287">
        <v>163.5</v>
      </c>
      <c r="AB287">
        <v>156.19999999999999</v>
      </c>
      <c r="AC287">
        <v>155.9</v>
      </c>
      <c r="AD287">
        <v>158.5</v>
      </c>
    </row>
    <row r="288" spans="1:30" x14ac:dyDescent="0.3">
      <c r="A288" t="s">
        <v>36</v>
      </c>
      <c r="B288">
        <v>2021</v>
      </c>
      <c r="C288" t="s">
        <v>42</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37</v>
      </c>
      <c r="B289">
        <v>2021</v>
      </c>
      <c r="C289" t="s">
        <v>42</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33</v>
      </c>
      <c r="B290">
        <v>2021</v>
      </c>
      <c r="C290" t="s">
        <v>44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43</v>
      </c>
      <c r="V290">
        <v>154.4</v>
      </c>
      <c r="W290">
        <v>154.80000000000001</v>
      </c>
      <c r="X290">
        <v>164.3</v>
      </c>
      <c r="Y290">
        <v>150.19999999999999</v>
      </c>
      <c r="Z290">
        <v>157</v>
      </c>
      <c r="AA290">
        <v>163.6</v>
      </c>
      <c r="AB290">
        <v>155.19999999999999</v>
      </c>
      <c r="AC290">
        <v>157.19999999999999</v>
      </c>
      <c r="AD290">
        <v>156.69999999999999</v>
      </c>
    </row>
    <row r="291" spans="1:30" x14ac:dyDescent="0.3">
      <c r="A291" t="s">
        <v>36</v>
      </c>
      <c r="B291">
        <v>2021</v>
      </c>
      <c r="C291" t="s">
        <v>44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37</v>
      </c>
      <c r="B292">
        <v>2021</v>
      </c>
      <c r="C292" t="s">
        <v>44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33</v>
      </c>
      <c r="B293">
        <v>2021</v>
      </c>
      <c r="C293" t="s">
        <v>45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35</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36</v>
      </c>
      <c r="B294">
        <v>2021</v>
      </c>
      <c r="C294" t="s">
        <v>45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37</v>
      </c>
      <c r="B295">
        <v>2021</v>
      </c>
      <c r="C295" t="s">
        <v>45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33</v>
      </c>
      <c r="B296">
        <v>2021</v>
      </c>
      <c r="C296" t="s">
        <v>46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35</v>
      </c>
      <c r="V296">
        <v>156</v>
      </c>
      <c r="W296">
        <v>155.5</v>
      </c>
      <c r="X296">
        <v>165.3</v>
      </c>
      <c r="Y296">
        <v>151.69999999999999</v>
      </c>
      <c r="Z296">
        <v>158.6</v>
      </c>
      <c r="AA296">
        <v>164.1</v>
      </c>
      <c r="AB296">
        <v>154.6</v>
      </c>
      <c r="AC296">
        <v>158</v>
      </c>
      <c r="AD296">
        <v>157.6</v>
      </c>
    </row>
    <row r="297" spans="1:30" x14ac:dyDescent="0.3">
      <c r="A297" t="s">
        <v>36</v>
      </c>
      <c r="B297">
        <v>2021</v>
      </c>
      <c r="C297" t="s">
        <v>46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37</v>
      </c>
      <c r="B298">
        <v>2021</v>
      </c>
      <c r="C298" t="s">
        <v>46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33</v>
      </c>
      <c r="B299">
        <v>2021</v>
      </c>
      <c r="C299" t="s">
        <v>34</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43</v>
      </c>
      <c r="V299">
        <v>161.69999999999999</v>
      </c>
      <c r="W299">
        <v>158.80000000000001</v>
      </c>
      <c r="X299">
        <v>169.1</v>
      </c>
      <c r="Y299">
        <v>153.19999999999999</v>
      </c>
      <c r="Z299">
        <v>160</v>
      </c>
      <c r="AA299">
        <v>167.6</v>
      </c>
      <c r="AB299">
        <v>159.30000000000001</v>
      </c>
      <c r="AC299">
        <v>161.1</v>
      </c>
      <c r="AD299">
        <v>161.1</v>
      </c>
    </row>
    <row r="300" spans="1:30" x14ac:dyDescent="0.3">
      <c r="A300" t="s">
        <v>36</v>
      </c>
      <c r="B300">
        <v>2021</v>
      </c>
      <c r="C300" t="s">
        <v>34</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37</v>
      </c>
      <c r="B301">
        <v>2021</v>
      </c>
      <c r="C301" t="s">
        <v>34</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33</v>
      </c>
      <c r="B302">
        <v>2021</v>
      </c>
      <c r="C302" t="s">
        <v>47</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43</v>
      </c>
      <c r="V302">
        <v>162.1</v>
      </c>
      <c r="W302">
        <v>159.19999999999999</v>
      </c>
      <c r="X302">
        <v>169.7</v>
      </c>
      <c r="Y302">
        <v>154.19999999999999</v>
      </c>
      <c r="Z302">
        <v>160.4</v>
      </c>
      <c r="AA302">
        <v>166.8</v>
      </c>
      <c r="AB302">
        <v>159.4</v>
      </c>
      <c r="AC302">
        <v>161.5</v>
      </c>
      <c r="AD302">
        <v>162.1</v>
      </c>
    </row>
    <row r="303" spans="1:30" x14ac:dyDescent="0.3">
      <c r="A303" t="s">
        <v>36</v>
      </c>
      <c r="B303">
        <v>2021</v>
      </c>
      <c r="C303" t="s">
        <v>47</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37</v>
      </c>
      <c r="B304">
        <v>2021</v>
      </c>
      <c r="C304" t="s">
        <v>47</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33</v>
      </c>
      <c r="B305">
        <v>2021</v>
      </c>
      <c r="C305" t="s">
        <v>48</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43</v>
      </c>
      <c r="V305">
        <v>162.5</v>
      </c>
      <c r="W305">
        <v>160.30000000000001</v>
      </c>
      <c r="X305">
        <v>170.4</v>
      </c>
      <c r="Y305">
        <v>157.1</v>
      </c>
      <c r="Z305">
        <v>160.69999999999999</v>
      </c>
      <c r="AA305">
        <v>167.2</v>
      </c>
      <c r="AB305">
        <v>160.4</v>
      </c>
      <c r="AC305">
        <v>162.80000000000001</v>
      </c>
      <c r="AD305">
        <v>163.19999999999999</v>
      </c>
    </row>
    <row r="306" spans="1:30" x14ac:dyDescent="0.3">
      <c r="A306" t="s">
        <v>36</v>
      </c>
      <c r="B306">
        <v>2021</v>
      </c>
      <c r="C306" t="s">
        <v>48</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37</v>
      </c>
      <c r="B307">
        <v>2021</v>
      </c>
      <c r="C307" t="s">
        <v>48</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33</v>
      </c>
      <c r="B308">
        <v>2021</v>
      </c>
      <c r="C308" t="s">
        <v>49</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43</v>
      </c>
      <c r="V308">
        <v>163.1</v>
      </c>
      <c r="W308">
        <v>160.9</v>
      </c>
      <c r="X308">
        <v>171.1</v>
      </c>
      <c r="Y308">
        <v>157.69999999999999</v>
      </c>
      <c r="Z308">
        <v>161.1</v>
      </c>
      <c r="AA308">
        <v>167.5</v>
      </c>
      <c r="AB308">
        <v>160.30000000000001</v>
      </c>
      <c r="AC308">
        <v>163.30000000000001</v>
      </c>
      <c r="AD308">
        <v>163.6</v>
      </c>
    </row>
    <row r="309" spans="1:30" x14ac:dyDescent="0.3">
      <c r="A309" t="s">
        <v>36</v>
      </c>
      <c r="B309">
        <v>2021</v>
      </c>
      <c r="C309" t="s">
        <v>49</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37</v>
      </c>
      <c r="B310">
        <v>2021</v>
      </c>
      <c r="C310" t="s">
        <v>49</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33</v>
      </c>
      <c r="B311">
        <v>2021</v>
      </c>
      <c r="C311" t="s">
        <v>50</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43</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36</v>
      </c>
      <c r="B312">
        <v>2021</v>
      </c>
      <c r="C312" t="s">
        <v>50</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37</v>
      </c>
      <c r="B313">
        <v>2021</v>
      </c>
      <c r="C313" t="s">
        <v>50</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33</v>
      </c>
      <c r="B314">
        <v>2021</v>
      </c>
      <c r="C314" t="s">
        <v>51</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43</v>
      </c>
      <c r="V314">
        <v>165.5</v>
      </c>
      <c r="W314">
        <v>162</v>
      </c>
      <c r="X314">
        <v>172.5</v>
      </c>
      <c r="Y314">
        <v>159.5</v>
      </c>
      <c r="Z314">
        <v>163.19999999999999</v>
      </c>
      <c r="AA314">
        <v>169</v>
      </c>
      <c r="AB314">
        <v>161.1</v>
      </c>
      <c r="AC314">
        <v>164.7</v>
      </c>
      <c r="AD314">
        <v>166.3</v>
      </c>
    </row>
    <row r="315" spans="1:30" x14ac:dyDescent="0.3">
      <c r="A315" t="s">
        <v>36</v>
      </c>
      <c r="B315">
        <v>2021</v>
      </c>
      <c r="C315" t="s">
        <v>51</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37</v>
      </c>
      <c r="B316">
        <v>2021</v>
      </c>
      <c r="C316" t="s">
        <v>51</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33</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43</v>
      </c>
      <c r="V317">
        <v>165.3</v>
      </c>
      <c r="W317">
        <v>162.9</v>
      </c>
      <c r="X317">
        <v>173.4</v>
      </c>
      <c r="Y317">
        <v>158.9</v>
      </c>
      <c r="Z317">
        <v>163.80000000000001</v>
      </c>
      <c r="AA317">
        <v>169.3</v>
      </c>
      <c r="AB317">
        <v>162.4</v>
      </c>
      <c r="AC317">
        <v>165.2</v>
      </c>
      <c r="AD317">
        <v>167.6</v>
      </c>
    </row>
    <row r="318" spans="1:30" x14ac:dyDescent="0.3">
      <c r="A318" t="s">
        <v>36</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37</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33</v>
      </c>
      <c r="B320">
        <v>2021</v>
      </c>
      <c r="C320" t="s">
        <v>54</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43</v>
      </c>
      <c r="V320">
        <v>165.6</v>
      </c>
      <c r="W320">
        <v>163.9</v>
      </c>
      <c r="X320">
        <v>174</v>
      </c>
      <c r="Y320">
        <v>160.1</v>
      </c>
      <c r="Z320">
        <v>164.5</v>
      </c>
      <c r="AA320">
        <v>169.7</v>
      </c>
      <c r="AB320">
        <v>162.80000000000001</v>
      </c>
      <c r="AC320">
        <v>166</v>
      </c>
      <c r="AD320">
        <v>167</v>
      </c>
    </row>
    <row r="321" spans="1:30" x14ac:dyDescent="0.3">
      <c r="A321" t="s">
        <v>36</v>
      </c>
      <c r="B321">
        <v>2021</v>
      </c>
      <c r="C321" t="s">
        <v>54</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37</v>
      </c>
      <c r="B322">
        <v>2021</v>
      </c>
      <c r="C322" t="s">
        <v>54</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33</v>
      </c>
      <c r="B323">
        <v>2022</v>
      </c>
      <c r="C323" t="s">
        <v>42</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43</v>
      </c>
      <c r="V323">
        <v>165.8</v>
      </c>
      <c r="W323">
        <v>164.9</v>
      </c>
      <c r="X323">
        <v>174.7</v>
      </c>
      <c r="Y323">
        <v>160.80000000000001</v>
      </c>
      <c r="Z323">
        <v>164.9</v>
      </c>
      <c r="AA323">
        <v>169.9</v>
      </c>
      <c r="AB323">
        <v>163.19999999999999</v>
      </c>
      <c r="AC323">
        <v>166.6</v>
      </c>
      <c r="AD323">
        <v>166.4</v>
      </c>
    </row>
    <row r="324" spans="1:30" x14ac:dyDescent="0.3">
      <c r="A324" t="s">
        <v>36</v>
      </c>
      <c r="B324">
        <v>2022</v>
      </c>
      <c r="C324" t="s">
        <v>42</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37</v>
      </c>
      <c r="B325">
        <v>2022</v>
      </c>
      <c r="C325" t="s">
        <v>42</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33</v>
      </c>
      <c r="B326">
        <v>2022</v>
      </c>
      <c r="C326" t="s">
        <v>44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43</v>
      </c>
      <c r="V326">
        <v>167.4</v>
      </c>
      <c r="W326">
        <v>165.7</v>
      </c>
      <c r="X326">
        <v>175.3</v>
      </c>
      <c r="Y326">
        <v>161.19999999999999</v>
      </c>
      <c r="Z326">
        <v>165.5</v>
      </c>
      <c r="AA326">
        <v>170.3</v>
      </c>
      <c r="AB326">
        <v>164.5</v>
      </c>
      <c r="AC326">
        <v>167.3</v>
      </c>
      <c r="AD326">
        <v>166.7</v>
      </c>
    </row>
    <row r="327" spans="1:30" x14ac:dyDescent="0.3">
      <c r="A327" t="s">
        <v>36</v>
      </c>
      <c r="B327">
        <v>2022</v>
      </c>
      <c r="C327" t="s">
        <v>44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37</v>
      </c>
      <c r="B328">
        <v>2022</v>
      </c>
      <c r="C328" t="s">
        <v>44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33</v>
      </c>
      <c r="B329">
        <v>2022</v>
      </c>
      <c r="C329" t="s">
        <v>45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43</v>
      </c>
      <c r="V329">
        <v>168.9</v>
      </c>
      <c r="W329">
        <v>166.5</v>
      </c>
      <c r="X329">
        <v>176</v>
      </c>
      <c r="Y329">
        <v>162</v>
      </c>
      <c r="Z329">
        <v>166.6</v>
      </c>
      <c r="AA329">
        <v>170.6</v>
      </c>
      <c r="AB329">
        <v>167.4</v>
      </c>
      <c r="AC329">
        <v>168.3</v>
      </c>
      <c r="AD329">
        <v>168.7</v>
      </c>
    </row>
    <row r="330" spans="1:30" x14ac:dyDescent="0.3">
      <c r="A330" t="s">
        <v>36</v>
      </c>
      <c r="B330">
        <v>2022</v>
      </c>
      <c r="C330" t="s">
        <v>45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37</v>
      </c>
      <c r="B331">
        <v>2022</v>
      </c>
      <c r="C331" t="s">
        <v>45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33</v>
      </c>
      <c r="B332">
        <v>2022</v>
      </c>
      <c r="C332" t="s">
        <v>46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43</v>
      </c>
      <c r="V332">
        <v>173.3</v>
      </c>
      <c r="W332">
        <v>167.7</v>
      </c>
      <c r="X332">
        <v>177</v>
      </c>
      <c r="Y332">
        <v>166.2</v>
      </c>
      <c r="Z332">
        <v>167.2</v>
      </c>
      <c r="AA332">
        <v>170.9</v>
      </c>
      <c r="AB332">
        <v>169</v>
      </c>
      <c r="AC332">
        <v>170.2</v>
      </c>
      <c r="AD332">
        <v>170.8</v>
      </c>
    </row>
    <row r="333" spans="1:30" x14ac:dyDescent="0.3">
      <c r="A333" t="s">
        <v>36</v>
      </c>
      <c r="B333">
        <v>2022</v>
      </c>
      <c r="C333" t="s">
        <v>46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37</v>
      </c>
      <c r="B334">
        <v>2022</v>
      </c>
      <c r="C334" t="s">
        <v>46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33</v>
      </c>
      <c r="B335">
        <v>2022</v>
      </c>
      <c r="C335" t="s">
        <v>34</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43</v>
      </c>
      <c r="V335">
        <v>175.3</v>
      </c>
      <c r="W335">
        <v>168.9</v>
      </c>
      <c r="X335">
        <v>177.7</v>
      </c>
      <c r="Y335">
        <v>167.1</v>
      </c>
      <c r="Z335">
        <v>167.6</v>
      </c>
      <c r="AA335">
        <v>171.8</v>
      </c>
      <c r="AB335">
        <v>168.5</v>
      </c>
      <c r="AC335">
        <v>170.9</v>
      </c>
      <c r="AD335">
        <v>172.5</v>
      </c>
    </row>
    <row r="336" spans="1:30" x14ac:dyDescent="0.3">
      <c r="A336" t="s">
        <v>36</v>
      </c>
      <c r="B336">
        <v>2022</v>
      </c>
      <c r="C336" t="s">
        <v>34</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37</v>
      </c>
      <c r="B337">
        <v>2022</v>
      </c>
      <c r="C337" t="s">
        <v>34</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33</v>
      </c>
      <c r="B338">
        <v>2022</v>
      </c>
      <c r="C338" t="s">
        <v>47</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43</v>
      </c>
      <c r="V338">
        <v>176.7</v>
      </c>
      <c r="W338">
        <v>170.3</v>
      </c>
      <c r="X338">
        <v>178.2</v>
      </c>
      <c r="Y338">
        <v>165.5</v>
      </c>
      <c r="Z338">
        <v>168</v>
      </c>
      <c r="AA338">
        <v>172.6</v>
      </c>
      <c r="AB338">
        <v>169.5</v>
      </c>
      <c r="AC338">
        <v>171</v>
      </c>
      <c r="AD338">
        <v>173.6</v>
      </c>
    </row>
    <row r="339" spans="1:30" x14ac:dyDescent="0.3">
      <c r="A339" t="s">
        <v>36</v>
      </c>
      <c r="B339">
        <v>2022</v>
      </c>
      <c r="C339" t="s">
        <v>47</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37</v>
      </c>
      <c r="B340">
        <v>2022</v>
      </c>
      <c r="C340" t="s">
        <v>47</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33</v>
      </c>
      <c r="B341">
        <v>2022</v>
      </c>
      <c r="C341" t="s">
        <v>48</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43</v>
      </c>
      <c r="V341">
        <v>179.6</v>
      </c>
      <c r="W341">
        <v>171.3</v>
      </c>
      <c r="X341">
        <v>178.8</v>
      </c>
      <c r="Y341">
        <v>166.3</v>
      </c>
      <c r="Z341">
        <v>168.6</v>
      </c>
      <c r="AA341">
        <v>174.7</v>
      </c>
      <c r="AB341">
        <v>169.7</v>
      </c>
      <c r="AC341">
        <v>171.8</v>
      </c>
      <c r="AD341">
        <v>174.3</v>
      </c>
    </row>
    <row r="342" spans="1:30" x14ac:dyDescent="0.3">
      <c r="A342" t="s">
        <v>36</v>
      </c>
      <c r="B342">
        <v>2022</v>
      </c>
      <c r="C342" t="s">
        <v>48</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37</v>
      </c>
      <c r="B343">
        <v>2022</v>
      </c>
      <c r="C343" t="s">
        <v>48</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33</v>
      </c>
      <c r="B344">
        <v>2022</v>
      </c>
      <c r="C344" t="s">
        <v>49</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43</v>
      </c>
      <c r="V344">
        <v>179.1</v>
      </c>
      <c r="W344">
        <v>172.3</v>
      </c>
      <c r="X344">
        <v>179.4</v>
      </c>
      <c r="Y344">
        <v>166.6</v>
      </c>
      <c r="Z344">
        <v>169.3</v>
      </c>
      <c r="AA344">
        <v>175.7</v>
      </c>
      <c r="AB344">
        <v>171.1</v>
      </c>
      <c r="AC344">
        <v>172.6</v>
      </c>
      <c r="AD344">
        <v>175.3</v>
      </c>
    </row>
    <row r="345" spans="1:30" x14ac:dyDescent="0.3">
      <c r="A345" t="s">
        <v>36</v>
      </c>
      <c r="B345">
        <v>2022</v>
      </c>
      <c r="C345" t="s">
        <v>49</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37</v>
      </c>
      <c r="B346">
        <v>2022</v>
      </c>
      <c r="C346" t="s">
        <v>49</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33</v>
      </c>
      <c r="B347">
        <v>2022</v>
      </c>
      <c r="C347" t="s">
        <v>50</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43</v>
      </c>
      <c r="V347">
        <v>179.7</v>
      </c>
      <c r="W347">
        <v>173.6</v>
      </c>
      <c r="X347">
        <v>180.2</v>
      </c>
      <c r="Y347">
        <v>166.9</v>
      </c>
      <c r="Z347">
        <v>170</v>
      </c>
      <c r="AA347">
        <v>176.2</v>
      </c>
      <c r="AB347">
        <v>170.8</v>
      </c>
      <c r="AC347">
        <v>173.1</v>
      </c>
      <c r="AD347">
        <v>176.4</v>
      </c>
    </row>
    <row r="348" spans="1:30" x14ac:dyDescent="0.3">
      <c r="A348" t="s">
        <v>36</v>
      </c>
      <c r="B348">
        <v>2022</v>
      </c>
      <c r="C348" t="s">
        <v>50</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37</v>
      </c>
      <c r="B349">
        <v>2022</v>
      </c>
      <c r="C349" t="s">
        <v>50</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33</v>
      </c>
      <c r="B350">
        <v>2022</v>
      </c>
      <c r="C350" t="s">
        <v>51</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43</v>
      </c>
      <c r="V350">
        <v>180.8</v>
      </c>
      <c r="W350">
        <v>174.4</v>
      </c>
      <c r="X350">
        <v>181.2</v>
      </c>
      <c r="Y350">
        <v>167.4</v>
      </c>
      <c r="Z350">
        <v>170.6</v>
      </c>
      <c r="AA350">
        <v>176.5</v>
      </c>
      <c r="AB350">
        <v>172</v>
      </c>
      <c r="AC350">
        <v>173.9</v>
      </c>
      <c r="AD350">
        <v>177.9</v>
      </c>
    </row>
    <row r="351" spans="1:30" x14ac:dyDescent="0.3">
      <c r="A351" t="s">
        <v>36</v>
      </c>
      <c r="B351">
        <v>2022</v>
      </c>
      <c r="C351" t="s">
        <v>51</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37</v>
      </c>
      <c r="B352">
        <v>2022</v>
      </c>
      <c r="C352" t="s">
        <v>51</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33</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43</v>
      </c>
      <c r="V353">
        <v>181.9</v>
      </c>
      <c r="W353">
        <v>175.5</v>
      </c>
      <c r="X353">
        <v>182.3</v>
      </c>
      <c r="Y353">
        <v>167.5</v>
      </c>
      <c r="Z353">
        <v>170.8</v>
      </c>
      <c r="AA353">
        <v>176.9</v>
      </c>
      <c r="AB353">
        <v>173.4</v>
      </c>
      <c r="AC353">
        <v>174.6</v>
      </c>
      <c r="AD353">
        <v>177.8</v>
      </c>
    </row>
    <row r="354" spans="1:30" x14ac:dyDescent="0.3">
      <c r="A354" t="s">
        <v>36</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37</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33</v>
      </c>
      <c r="B356">
        <v>2022</v>
      </c>
      <c r="C356" t="s">
        <v>54</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43</v>
      </c>
      <c r="V356">
        <v>182.8</v>
      </c>
      <c r="W356">
        <v>176.4</v>
      </c>
      <c r="X356">
        <v>183.5</v>
      </c>
      <c r="Y356">
        <v>167.8</v>
      </c>
      <c r="Z356">
        <v>171.2</v>
      </c>
      <c r="AA356">
        <v>177.3</v>
      </c>
      <c r="AB356">
        <v>175.7</v>
      </c>
      <c r="AC356">
        <v>175.5</v>
      </c>
      <c r="AD356">
        <v>177.1</v>
      </c>
    </row>
    <row r="357" spans="1:30" x14ac:dyDescent="0.3">
      <c r="A357" t="s">
        <v>36</v>
      </c>
      <c r="B357">
        <v>2022</v>
      </c>
      <c r="C357" t="s">
        <v>54</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37</v>
      </c>
      <c r="B358">
        <v>2022</v>
      </c>
      <c r="C358" t="s">
        <v>54</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33</v>
      </c>
      <c r="B359">
        <v>2023</v>
      </c>
      <c r="C359" t="s">
        <v>42</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43</v>
      </c>
      <c r="V359">
        <v>183.2</v>
      </c>
      <c r="W359">
        <v>177.2</v>
      </c>
      <c r="X359">
        <v>184.7</v>
      </c>
      <c r="Y359">
        <v>168.2</v>
      </c>
      <c r="Z359">
        <v>171.8</v>
      </c>
      <c r="AA359">
        <v>177.8</v>
      </c>
      <c r="AB359">
        <v>178.4</v>
      </c>
      <c r="AC359">
        <v>176.5</v>
      </c>
      <c r="AD359">
        <v>177.8</v>
      </c>
    </row>
    <row r="360" spans="1:30" x14ac:dyDescent="0.3">
      <c r="A360" t="s">
        <v>36</v>
      </c>
      <c r="B360">
        <v>2023</v>
      </c>
      <c r="C360" t="s">
        <v>42</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37</v>
      </c>
      <c r="B361">
        <v>2023</v>
      </c>
      <c r="C361" t="s">
        <v>42</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33</v>
      </c>
      <c r="B362">
        <v>2023</v>
      </c>
      <c r="C362" t="s">
        <v>44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43</v>
      </c>
      <c r="V362">
        <v>181.6</v>
      </c>
      <c r="W362">
        <v>178.6</v>
      </c>
      <c r="X362">
        <v>186.6</v>
      </c>
      <c r="Y362">
        <v>169</v>
      </c>
      <c r="Z362">
        <v>172.8</v>
      </c>
      <c r="AA362">
        <v>178.5</v>
      </c>
      <c r="AB362">
        <v>180.7</v>
      </c>
      <c r="AC362">
        <v>177.9</v>
      </c>
      <c r="AD362">
        <v>178</v>
      </c>
    </row>
    <row r="363" spans="1:30" x14ac:dyDescent="0.3">
      <c r="A363" t="s">
        <v>36</v>
      </c>
      <c r="B363">
        <v>2023</v>
      </c>
      <c r="C363" t="s">
        <v>44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37</v>
      </c>
      <c r="B364">
        <v>2023</v>
      </c>
      <c r="C364" t="s">
        <v>44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33</v>
      </c>
      <c r="B365">
        <v>2023</v>
      </c>
      <c r="C365" t="s">
        <v>45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43</v>
      </c>
      <c r="V365">
        <v>181.4</v>
      </c>
      <c r="W365">
        <v>178.6</v>
      </c>
      <c r="X365">
        <v>186.6</v>
      </c>
      <c r="Y365">
        <v>169</v>
      </c>
      <c r="Z365">
        <v>172.8</v>
      </c>
      <c r="AA365">
        <v>178.5</v>
      </c>
      <c r="AB365">
        <v>180.7</v>
      </c>
      <c r="AC365">
        <v>177.9</v>
      </c>
      <c r="AD365">
        <v>178</v>
      </c>
    </row>
    <row r="366" spans="1:30" x14ac:dyDescent="0.3">
      <c r="A366" t="s">
        <v>36</v>
      </c>
      <c r="B366">
        <v>2023</v>
      </c>
      <c r="C366" t="s">
        <v>45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37</v>
      </c>
      <c r="B367">
        <v>2023</v>
      </c>
      <c r="C367" t="s">
        <v>45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33</v>
      </c>
      <c r="B368">
        <v>2023</v>
      </c>
      <c r="C368" t="s">
        <v>46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35</v>
      </c>
      <c r="V368">
        <v>181.5</v>
      </c>
      <c r="W368">
        <v>179.1</v>
      </c>
      <c r="X368">
        <v>187.2</v>
      </c>
      <c r="Y368">
        <v>169.4</v>
      </c>
      <c r="Z368">
        <v>173.2</v>
      </c>
      <c r="AA368">
        <v>179.4</v>
      </c>
      <c r="AB368">
        <v>183.8</v>
      </c>
      <c r="AC368">
        <v>178.9</v>
      </c>
      <c r="AD368">
        <v>178.8</v>
      </c>
    </row>
    <row r="369" spans="1:30" x14ac:dyDescent="0.3">
      <c r="A369" t="s">
        <v>36</v>
      </c>
      <c r="B369">
        <v>2023</v>
      </c>
      <c r="C369" t="s">
        <v>46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37</v>
      </c>
      <c r="B370">
        <v>2023</v>
      </c>
      <c r="C370" t="s">
        <v>46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33</v>
      </c>
      <c r="B371">
        <v>2023</v>
      </c>
      <c r="C371" t="s">
        <v>34</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35</v>
      </c>
      <c r="V371">
        <v>182.5</v>
      </c>
      <c r="W371">
        <v>179.8</v>
      </c>
      <c r="X371">
        <v>187.8</v>
      </c>
      <c r="Y371">
        <v>169.7</v>
      </c>
      <c r="Z371">
        <v>173.8</v>
      </c>
      <c r="AA371">
        <v>180.3</v>
      </c>
      <c r="AB371">
        <v>184.9</v>
      </c>
      <c r="AC371">
        <v>179.5</v>
      </c>
      <c r="AD371">
        <v>179.8</v>
      </c>
    </row>
    <row r="372" spans="1:30" x14ac:dyDescent="0.3">
      <c r="A372" t="s">
        <v>36</v>
      </c>
      <c r="B372">
        <v>2023</v>
      </c>
      <c r="C372" t="s">
        <v>34</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37</v>
      </c>
      <c r="B373">
        <v>2023</v>
      </c>
      <c r="C373" t="s">
        <v>34</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sheetProtection algorithmName="SHA-512" hashValue="MSILI6c2EWveN4HYVw+Dzuo4rZsCo1OnWQNpJ3+LIdAfxehOsuf9DQ4Ti2yrqqpDcNLilorR5fXI8al2uF2r8A==" saltValue="0O3x2T9TX1Lfw/Ejgn4hiA==" spinCount="100000" sheet="1" objects="1" scenarios="1"/>
  <autoFilter ref="A1:AD373" xr:uid="{0123C7C5-5FC2-4E0A-AA99-D2A4410BA02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AC2A-90CF-401C-87CD-16E15E40F63F}">
  <dimension ref="A1:B28"/>
  <sheetViews>
    <sheetView workbookViewId="0">
      <selection activeCell="D13" sqref="D13"/>
    </sheetView>
  </sheetViews>
  <sheetFormatPr defaultRowHeight="14.4" x14ac:dyDescent="0.3"/>
  <cols>
    <col min="1" max="1" width="30.44140625" bestFit="1" customWidth="1"/>
    <col min="2" max="2" width="29.88671875" bestFit="1" customWidth="1"/>
  </cols>
  <sheetData>
    <row r="1" spans="1:2" x14ac:dyDescent="0.3">
      <c r="A1" s="52" t="s">
        <v>57</v>
      </c>
      <c r="B1" s="52" t="s">
        <v>56</v>
      </c>
    </row>
    <row r="2" spans="1:2" x14ac:dyDescent="0.3">
      <c r="A2" s="9" t="s">
        <v>3</v>
      </c>
      <c r="B2" s="9" t="s">
        <v>17</v>
      </c>
    </row>
    <row r="3" spans="1:2" x14ac:dyDescent="0.3">
      <c r="A3" s="9" t="s">
        <v>4</v>
      </c>
      <c r="B3" s="9" t="s">
        <v>17</v>
      </c>
    </row>
    <row r="4" spans="1:2" x14ac:dyDescent="0.3">
      <c r="A4" s="9" t="s">
        <v>5</v>
      </c>
      <c r="B4" s="9" t="s">
        <v>17</v>
      </c>
    </row>
    <row r="5" spans="1:2" x14ac:dyDescent="0.3">
      <c r="A5" s="9" t="s">
        <v>6</v>
      </c>
      <c r="B5" s="9" t="s">
        <v>17</v>
      </c>
    </row>
    <row r="6" spans="1:2" x14ac:dyDescent="0.3">
      <c r="A6" s="9" t="s">
        <v>7</v>
      </c>
      <c r="B6" s="9" t="s">
        <v>17</v>
      </c>
    </row>
    <row r="7" spans="1:2" x14ac:dyDescent="0.3">
      <c r="A7" s="9" t="s">
        <v>8</v>
      </c>
      <c r="B7" s="9" t="s">
        <v>17</v>
      </c>
    </row>
    <row r="8" spans="1:2" x14ac:dyDescent="0.3">
      <c r="A8" s="9" t="s">
        <v>9</v>
      </c>
      <c r="B8" s="9" t="s">
        <v>17</v>
      </c>
    </row>
    <row r="9" spans="1:2" x14ac:dyDescent="0.3">
      <c r="A9" s="9" t="s">
        <v>10</v>
      </c>
      <c r="B9" s="9" t="s">
        <v>17</v>
      </c>
    </row>
    <row r="10" spans="1:2" x14ac:dyDescent="0.3">
      <c r="A10" s="9" t="s">
        <v>11</v>
      </c>
      <c r="B10" s="9" t="s">
        <v>17</v>
      </c>
    </row>
    <row r="11" spans="1:2" x14ac:dyDescent="0.3">
      <c r="A11" s="9" t="s">
        <v>12</v>
      </c>
      <c r="B11" s="9" t="s">
        <v>17</v>
      </c>
    </row>
    <row r="12" spans="1:2" x14ac:dyDescent="0.3">
      <c r="A12" s="9" t="s">
        <v>13</v>
      </c>
      <c r="B12" s="9" t="s">
        <v>17</v>
      </c>
    </row>
    <row r="13" spans="1:2" x14ac:dyDescent="0.3">
      <c r="A13" s="9" t="s">
        <v>14</v>
      </c>
      <c r="B13" s="9" t="s">
        <v>17</v>
      </c>
    </row>
    <row r="14" spans="1:2" x14ac:dyDescent="0.3">
      <c r="A14" s="9" t="s">
        <v>15</v>
      </c>
      <c r="B14" s="9" t="s">
        <v>17</v>
      </c>
    </row>
    <row r="15" spans="1:2" x14ac:dyDescent="0.3">
      <c r="A15" s="9" t="s">
        <v>16</v>
      </c>
      <c r="B15" s="9" t="s">
        <v>17</v>
      </c>
    </row>
    <row r="16" spans="1:2" x14ac:dyDescent="0.3">
      <c r="A16" s="9" t="s">
        <v>18</v>
      </c>
      <c r="B16" s="9" t="s">
        <v>21</v>
      </c>
    </row>
    <row r="17" spans="1:2" x14ac:dyDescent="0.3">
      <c r="A17" s="9" t="s">
        <v>19</v>
      </c>
      <c r="B17" s="9" t="s">
        <v>21</v>
      </c>
    </row>
    <row r="18" spans="1:2" x14ac:dyDescent="0.3">
      <c r="A18" s="9" t="s">
        <v>20</v>
      </c>
      <c r="B18" s="9" t="s">
        <v>21</v>
      </c>
    </row>
    <row r="19" spans="1:2" x14ac:dyDescent="0.3">
      <c r="A19" s="9" t="s">
        <v>22</v>
      </c>
      <c r="B19" s="9" t="s">
        <v>25</v>
      </c>
    </row>
    <row r="20" spans="1:2" x14ac:dyDescent="0.3">
      <c r="A20" s="9" t="s">
        <v>23</v>
      </c>
      <c r="B20" s="9" t="s">
        <v>25</v>
      </c>
    </row>
    <row r="21" spans="1:2" x14ac:dyDescent="0.3">
      <c r="A21" s="9" t="s">
        <v>24</v>
      </c>
      <c r="B21" s="9" t="s">
        <v>25</v>
      </c>
    </row>
    <row r="22" spans="1:2" x14ac:dyDescent="0.3">
      <c r="A22" s="9" t="s">
        <v>26</v>
      </c>
      <c r="B22" s="9" t="s">
        <v>26</v>
      </c>
    </row>
    <row r="23" spans="1:2" x14ac:dyDescent="0.3">
      <c r="A23" s="9" t="s">
        <v>27</v>
      </c>
      <c r="B23" s="9" t="s">
        <v>39</v>
      </c>
    </row>
    <row r="24" spans="1:2" x14ac:dyDescent="0.3">
      <c r="A24" s="9" t="s">
        <v>28</v>
      </c>
      <c r="B24" s="9" t="s">
        <v>40</v>
      </c>
    </row>
    <row r="25" spans="1:2" x14ac:dyDescent="0.3">
      <c r="A25" s="9" t="s">
        <v>29</v>
      </c>
      <c r="B25" s="9" t="s">
        <v>29</v>
      </c>
    </row>
    <row r="26" spans="1:2" x14ac:dyDescent="0.3">
      <c r="A26" s="9" t="s">
        <v>30</v>
      </c>
      <c r="B26" s="9" t="s">
        <v>26</v>
      </c>
    </row>
    <row r="27" spans="1:2" x14ac:dyDescent="0.3">
      <c r="A27" s="9" t="s">
        <v>31</v>
      </c>
      <c r="B27" s="9" t="s">
        <v>58</v>
      </c>
    </row>
    <row r="28" spans="1:2" x14ac:dyDescent="0.3">
      <c r="A28" s="9" t="s">
        <v>32</v>
      </c>
      <c r="B28" s="9"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A021-00E2-47ED-8789-B2ECEF974796}">
  <dimension ref="A1:AM377"/>
  <sheetViews>
    <sheetView workbookViewId="0">
      <pane ySplit="1" topLeftCell="A325" activePane="bottomLeft" state="frozen"/>
      <selection pane="bottomLeft" activeCell="AF334" sqref="AF334"/>
    </sheetView>
  </sheetViews>
  <sheetFormatPr defaultRowHeight="14.4" x14ac:dyDescent="0.3"/>
  <cols>
    <col min="2" max="2" width="9" customWidth="1"/>
    <col min="4" max="4" width="13.88671875" bestFit="1" customWidth="1"/>
    <col min="5" max="8" width="9.5546875" customWidth="1"/>
    <col min="9" max="9" width="13.33203125" customWidth="1"/>
    <col min="10" max="18" width="9.5546875" customWidth="1"/>
    <col min="19" max="21" width="9.5546875" bestFit="1" customWidth="1"/>
    <col min="31" max="31" width="14.33203125" bestFit="1" customWidth="1"/>
    <col min="38" max="38" width="14.109375" bestFit="1" customWidth="1"/>
  </cols>
  <sheetData>
    <row r="1" spans="1:38" x14ac:dyDescent="0.3">
      <c r="A1" t="s">
        <v>0</v>
      </c>
      <c r="B1" t="s">
        <v>1</v>
      </c>
      <c r="C1" t="s">
        <v>2</v>
      </c>
      <c r="D1" t="s">
        <v>68</v>
      </c>
      <c r="E1" t="s">
        <v>3</v>
      </c>
      <c r="F1" t="s">
        <v>4</v>
      </c>
      <c r="G1" t="s">
        <v>5</v>
      </c>
      <c r="H1" t="s">
        <v>6</v>
      </c>
      <c r="I1" t="s">
        <v>7</v>
      </c>
      <c r="J1" t="s">
        <v>8</v>
      </c>
      <c r="K1" t="s">
        <v>9</v>
      </c>
      <c r="L1" t="s">
        <v>10</v>
      </c>
      <c r="M1" t="s">
        <v>11</v>
      </c>
      <c r="N1" t="s">
        <v>12</v>
      </c>
      <c r="O1" t="s">
        <v>13</v>
      </c>
      <c r="P1" t="s">
        <v>14</v>
      </c>
      <c r="Q1" t="s">
        <v>15</v>
      </c>
      <c r="R1" t="s">
        <v>16</v>
      </c>
      <c r="S1" t="s">
        <v>18</v>
      </c>
      <c r="T1" t="s">
        <v>19</v>
      </c>
      <c r="U1" t="s">
        <v>20</v>
      </c>
      <c r="V1" t="s">
        <v>22</v>
      </c>
      <c r="W1" t="s">
        <v>23</v>
      </c>
      <c r="X1" t="s">
        <v>24</v>
      </c>
      <c r="Y1" t="s">
        <v>26</v>
      </c>
      <c r="Z1" t="s">
        <v>27</v>
      </c>
      <c r="AA1" t="s">
        <v>28</v>
      </c>
      <c r="AB1" t="s">
        <v>29</v>
      </c>
      <c r="AC1" t="s">
        <v>30</v>
      </c>
      <c r="AD1" t="s">
        <v>31</v>
      </c>
      <c r="AE1" t="s">
        <v>32</v>
      </c>
      <c r="AF1" s="6" t="s">
        <v>17</v>
      </c>
      <c r="AG1" s="6" t="s">
        <v>21</v>
      </c>
      <c r="AH1" s="6" t="s">
        <v>25</v>
      </c>
      <c r="AI1" s="6" t="s">
        <v>61</v>
      </c>
      <c r="AJ1" s="6" t="s">
        <v>39</v>
      </c>
      <c r="AK1" s="6" t="s">
        <v>40</v>
      </c>
      <c r="AL1" s="6" t="s">
        <v>62</v>
      </c>
    </row>
    <row r="2" spans="1:38" x14ac:dyDescent="0.3">
      <c r="A2" t="s">
        <v>33</v>
      </c>
      <c r="B2">
        <v>2013</v>
      </c>
      <c r="C2" t="s">
        <v>42</v>
      </c>
      <c r="D2" t="str">
        <f>B2 &amp; " - " &amp; C2</f>
        <v>2013 - January</v>
      </c>
      <c r="E2">
        <v>107.5</v>
      </c>
      <c r="F2">
        <v>106.3</v>
      </c>
      <c r="G2">
        <v>108.1</v>
      </c>
      <c r="H2">
        <v>104.9</v>
      </c>
      <c r="I2">
        <v>106.1</v>
      </c>
      <c r="J2">
        <v>103.9</v>
      </c>
      <c r="K2">
        <v>101.9</v>
      </c>
      <c r="L2">
        <v>106.1</v>
      </c>
      <c r="M2">
        <v>106.8</v>
      </c>
      <c r="N2">
        <v>103.1</v>
      </c>
      <c r="O2">
        <v>104.8</v>
      </c>
      <c r="P2">
        <v>106.7</v>
      </c>
      <c r="Q2">
        <v>105.5</v>
      </c>
      <c r="R2">
        <v>105.1</v>
      </c>
      <c r="S2">
        <v>106.5</v>
      </c>
      <c r="T2">
        <v>105.8</v>
      </c>
      <c r="U2">
        <v>106.4</v>
      </c>
      <c r="V2" t="s">
        <v>43</v>
      </c>
      <c r="W2">
        <v>105.5</v>
      </c>
      <c r="X2">
        <v>104.8</v>
      </c>
      <c r="Y2">
        <v>104</v>
      </c>
      <c r="Z2">
        <v>103.3</v>
      </c>
      <c r="AA2">
        <v>103.4</v>
      </c>
      <c r="AB2">
        <v>103.8</v>
      </c>
      <c r="AC2">
        <v>104.7</v>
      </c>
      <c r="AD2">
        <v>104</v>
      </c>
      <c r="AE2">
        <v>105.1</v>
      </c>
      <c r="AF2">
        <f t="shared" ref="AF2:AF65" si="0">SUM(E2:R2)</f>
        <v>1476.7999999999997</v>
      </c>
      <c r="AG2">
        <f>SUM(S2:U2)</f>
        <v>318.70000000000005</v>
      </c>
      <c r="AH2">
        <f>SUM(V2:X2)</f>
        <v>210.3</v>
      </c>
      <c r="AI2">
        <f>SUM(Y2,AC2)</f>
        <v>208.7</v>
      </c>
      <c r="AJ2">
        <f>SUM(Z2)</f>
        <v>103.3</v>
      </c>
      <c r="AK2">
        <f>SUM(AA2)</f>
        <v>103.4</v>
      </c>
      <c r="AL2">
        <f>SUM(AB2)</f>
        <v>103.8</v>
      </c>
    </row>
    <row r="3" spans="1:38" x14ac:dyDescent="0.3">
      <c r="A3" t="s">
        <v>36</v>
      </c>
      <c r="B3">
        <v>2013</v>
      </c>
      <c r="C3" t="s">
        <v>42</v>
      </c>
      <c r="D3" t="str">
        <f t="shared" ref="D3:D66" si="1">B3 &amp; " - " &amp; C3</f>
        <v>2013 - January</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c r="AF3">
        <f t="shared" si="0"/>
        <v>1481.6000000000001</v>
      </c>
      <c r="AG3">
        <f t="shared" ref="AG3:AG66" si="2">SUM(S3:U3)</f>
        <v>316.7</v>
      </c>
      <c r="AH3">
        <f t="shared" ref="AH3:AH66" si="3">SUM(V3:X3)</f>
        <v>310.5</v>
      </c>
      <c r="AI3">
        <f t="shared" ref="AI3:AI66" si="4">SUM(Y3,AC3)</f>
        <v>208.39999999999998</v>
      </c>
      <c r="AJ3">
        <f t="shared" ref="AJ3:AJ66" si="5">SUM(Z3)</f>
        <v>103.2</v>
      </c>
      <c r="AK3">
        <f t="shared" ref="AK3:AK66" si="6">SUM(AA3)</f>
        <v>102.9</v>
      </c>
      <c r="AL3">
        <f t="shared" ref="AL3:AL66" si="7">SUM(AB3)</f>
        <v>103.5</v>
      </c>
    </row>
    <row r="4" spans="1:38" x14ac:dyDescent="0.3">
      <c r="A4" t="s">
        <v>37</v>
      </c>
      <c r="B4">
        <v>2013</v>
      </c>
      <c r="C4" t="s">
        <v>42</v>
      </c>
      <c r="D4" t="str">
        <f t="shared" si="1"/>
        <v>2013 - January</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c r="AF4">
        <f t="shared" si="0"/>
        <v>1478.4</v>
      </c>
      <c r="AG4">
        <f t="shared" si="2"/>
        <v>318</v>
      </c>
      <c r="AH4">
        <f t="shared" si="3"/>
        <v>310.60000000000002</v>
      </c>
      <c r="AI4">
        <f t="shared" si="4"/>
        <v>208.5</v>
      </c>
      <c r="AJ4">
        <f t="shared" si="5"/>
        <v>103.2</v>
      </c>
      <c r="AK4">
        <f t="shared" si="6"/>
        <v>103.1</v>
      </c>
      <c r="AL4">
        <f t="shared" si="7"/>
        <v>103.6</v>
      </c>
    </row>
    <row r="5" spans="1:38" x14ac:dyDescent="0.3">
      <c r="A5" t="s">
        <v>33</v>
      </c>
      <c r="B5">
        <v>2013</v>
      </c>
      <c r="C5" t="s">
        <v>44</v>
      </c>
      <c r="D5" t="str">
        <f t="shared" si="1"/>
        <v>2013 - February</v>
      </c>
      <c r="E5">
        <v>109.2</v>
      </c>
      <c r="F5">
        <v>108.7</v>
      </c>
      <c r="G5">
        <v>110.2</v>
      </c>
      <c r="H5">
        <v>105.4</v>
      </c>
      <c r="I5">
        <v>106.7</v>
      </c>
      <c r="J5">
        <v>104</v>
      </c>
      <c r="K5">
        <v>102.4</v>
      </c>
      <c r="L5">
        <v>105.9</v>
      </c>
      <c r="M5">
        <v>105.7</v>
      </c>
      <c r="N5">
        <v>103.1</v>
      </c>
      <c r="O5">
        <v>105.1</v>
      </c>
      <c r="P5">
        <v>107.7</v>
      </c>
      <c r="Q5">
        <v>106.3</v>
      </c>
      <c r="R5">
        <v>105.6</v>
      </c>
      <c r="S5">
        <v>107.1</v>
      </c>
      <c r="T5">
        <v>106.3</v>
      </c>
      <c r="U5">
        <v>107</v>
      </c>
      <c r="V5" t="s">
        <v>43</v>
      </c>
      <c r="W5">
        <v>106.2</v>
      </c>
      <c r="X5">
        <v>105.2</v>
      </c>
      <c r="Y5">
        <v>104.4</v>
      </c>
      <c r="Z5">
        <v>103.9</v>
      </c>
      <c r="AA5">
        <v>104</v>
      </c>
      <c r="AB5">
        <v>104.1</v>
      </c>
      <c r="AC5">
        <v>104.6</v>
      </c>
      <c r="AD5">
        <v>104.4</v>
      </c>
      <c r="AE5">
        <v>105.8</v>
      </c>
      <c r="AF5">
        <f t="shared" si="0"/>
        <v>1485.9999999999998</v>
      </c>
      <c r="AG5">
        <f t="shared" si="2"/>
        <v>320.39999999999998</v>
      </c>
      <c r="AH5">
        <f t="shared" si="3"/>
        <v>211.4</v>
      </c>
      <c r="AI5">
        <f t="shared" si="4"/>
        <v>209</v>
      </c>
      <c r="AJ5">
        <f t="shared" si="5"/>
        <v>103.9</v>
      </c>
      <c r="AK5">
        <f t="shared" si="6"/>
        <v>104</v>
      </c>
      <c r="AL5">
        <f t="shared" si="7"/>
        <v>104.1</v>
      </c>
    </row>
    <row r="6" spans="1:38" x14ac:dyDescent="0.3">
      <c r="A6" t="s">
        <v>36</v>
      </c>
      <c r="B6">
        <v>2013</v>
      </c>
      <c r="C6" t="s">
        <v>44</v>
      </c>
      <c r="D6" t="str">
        <f t="shared" si="1"/>
        <v>2013 - February</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c r="AF6">
        <f t="shared" si="0"/>
        <v>1496.6000000000001</v>
      </c>
      <c r="AG6">
        <f t="shared" si="2"/>
        <v>318.5</v>
      </c>
      <c r="AH6">
        <f t="shared" si="3"/>
        <v>311.3</v>
      </c>
      <c r="AI6">
        <f t="shared" si="4"/>
        <v>209</v>
      </c>
      <c r="AJ6">
        <f t="shared" si="5"/>
        <v>104.4</v>
      </c>
      <c r="AK6">
        <f t="shared" si="6"/>
        <v>103.3</v>
      </c>
      <c r="AL6">
        <f t="shared" si="7"/>
        <v>103.7</v>
      </c>
    </row>
    <row r="7" spans="1:38" x14ac:dyDescent="0.3">
      <c r="A7" t="s">
        <v>37</v>
      </c>
      <c r="B7">
        <v>2013</v>
      </c>
      <c r="C7" t="s">
        <v>44</v>
      </c>
      <c r="D7" t="str">
        <f t="shared" si="1"/>
        <v>2013 - February</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c r="AF7">
        <f t="shared" si="0"/>
        <v>1489.9</v>
      </c>
      <c r="AG7">
        <f t="shared" si="2"/>
        <v>319.7</v>
      </c>
      <c r="AH7">
        <f t="shared" si="3"/>
        <v>311.60000000000002</v>
      </c>
      <c r="AI7">
        <f t="shared" si="4"/>
        <v>209</v>
      </c>
      <c r="AJ7">
        <f t="shared" si="5"/>
        <v>104.2</v>
      </c>
      <c r="AK7">
        <f t="shared" si="6"/>
        <v>103.6</v>
      </c>
      <c r="AL7">
        <f t="shared" si="7"/>
        <v>103.9</v>
      </c>
    </row>
    <row r="8" spans="1:38" x14ac:dyDescent="0.3">
      <c r="A8" t="s">
        <v>33</v>
      </c>
      <c r="B8">
        <v>2013</v>
      </c>
      <c r="C8" t="s">
        <v>45</v>
      </c>
      <c r="D8" t="str">
        <f t="shared" si="1"/>
        <v>2013 - March</v>
      </c>
      <c r="E8">
        <v>110.2</v>
      </c>
      <c r="F8">
        <v>108.8</v>
      </c>
      <c r="G8">
        <v>109.9</v>
      </c>
      <c r="H8">
        <v>105.6</v>
      </c>
      <c r="I8">
        <v>106.2</v>
      </c>
      <c r="J8">
        <v>105.7</v>
      </c>
      <c r="K8">
        <v>101.4</v>
      </c>
      <c r="L8">
        <v>105.7</v>
      </c>
      <c r="M8">
        <v>105</v>
      </c>
      <c r="N8">
        <v>103.3</v>
      </c>
      <c r="O8">
        <v>105.6</v>
      </c>
      <c r="P8">
        <v>108.2</v>
      </c>
      <c r="Q8">
        <v>106.6</v>
      </c>
      <c r="R8">
        <v>106.5</v>
      </c>
      <c r="S8">
        <v>107.6</v>
      </c>
      <c r="T8">
        <v>106.8</v>
      </c>
      <c r="U8">
        <v>107.5</v>
      </c>
      <c r="V8" t="s">
        <v>43</v>
      </c>
      <c r="W8">
        <v>106.1</v>
      </c>
      <c r="X8">
        <v>105.6</v>
      </c>
      <c r="Y8">
        <v>104.7</v>
      </c>
      <c r="Z8">
        <v>104.6</v>
      </c>
      <c r="AA8">
        <v>104</v>
      </c>
      <c r="AB8">
        <v>104.3</v>
      </c>
      <c r="AC8">
        <v>104.3</v>
      </c>
      <c r="AD8">
        <v>104.6</v>
      </c>
      <c r="AE8">
        <v>106</v>
      </c>
      <c r="AF8">
        <f t="shared" si="0"/>
        <v>1488.7</v>
      </c>
      <c r="AG8">
        <f t="shared" si="2"/>
        <v>321.89999999999998</v>
      </c>
      <c r="AH8">
        <f t="shared" si="3"/>
        <v>211.7</v>
      </c>
      <c r="AI8">
        <f t="shared" si="4"/>
        <v>209</v>
      </c>
      <c r="AJ8">
        <f t="shared" si="5"/>
        <v>104.6</v>
      </c>
      <c r="AK8">
        <f t="shared" si="6"/>
        <v>104</v>
      </c>
      <c r="AL8">
        <f t="shared" si="7"/>
        <v>104.3</v>
      </c>
    </row>
    <row r="9" spans="1:38" x14ac:dyDescent="0.3">
      <c r="A9" t="s">
        <v>36</v>
      </c>
      <c r="B9">
        <v>2013</v>
      </c>
      <c r="C9" t="s">
        <v>45</v>
      </c>
      <c r="D9" t="str">
        <f t="shared" si="1"/>
        <v>2013 - March</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c r="AF9">
        <f t="shared" si="0"/>
        <v>1493.6</v>
      </c>
      <c r="AG9">
        <f t="shared" si="2"/>
        <v>320.2</v>
      </c>
      <c r="AH9">
        <f t="shared" si="3"/>
        <v>312.10000000000002</v>
      </c>
      <c r="AI9">
        <f t="shared" si="4"/>
        <v>209.4</v>
      </c>
      <c r="AJ9">
        <f t="shared" si="5"/>
        <v>105.5</v>
      </c>
      <c r="AK9">
        <f t="shared" si="6"/>
        <v>103.5</v>
      </c>
      <c r="AL9">
        <f t="shared" si="7"/>
        <v>103.8</v>
      </c>
    </row>
    <row r="10" spans="1:38" x14ac:dyDescent="0.3">
      <c r="A10" t="s">
        <v>37</v>
      </c>
      <c r="B10">
        <v>2013</v>
      </c>
      <c r="C10" t="s">
        <v>45</v>
      </c>
      <c r="D10" t="str">
        <f t="shared" si="1"/>
        <v>2013 - March</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c r="AF10">
        <f t="shared" si="0"/>
        <v>1490.6000000000001</v>
      </c>
      <c r="AG10">
        <f t="shared" si="2"/>
        <v>321.2</v>
      </c>
      <c r="AH10">
        <f t="shared" si="3"/>
        <v>312.10000000000002</v>
      </c>
      <c r="AI10">
        <f t="shared" si="4"/>
        <v>209.2</v>
      </c>
      <c r="AJ10">
        <f t="shared" si="5"/>
        <v>105.1</v>
      </c>
      <c r="AK10">
        <f t="shared" si="6"/>
        <v>103.7</v>
      </c>
      <c r="AL10">
        <f t="shared" si="7"/>
        <v>104</v>
      </c>
    </row>
    <row r="11" spans="1:38" x14ac:dyDescent="0.3">
      <c r="A11" t="s">
        <v>33</v>
      </c>
      <c r="B11">
        <v>2013</v>
      </c>
      <c r="C11" t="s">
        <v>46</v>
      </c>
      <c r="D11" t="str">
        <f t="shared" si="1"/>
        <v>2013 - April</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t="s">
        <v>43</v>
      </c>
      <c r="W11">
        <v>106.5</v>
      </c>
      <c r="X11">
        <v>106.1</v>
      </c>
      <c r="Y11">
        <v>105.1</v>
      </c>
      <c r="Z11">
        <v>104.4</v>
      </c>
      <c r="AA11">
        <v>104.5</v>
      </c>
      <c r="AB11">
        <v>104.8</v>
      </c>
      <c r="AC11">
        <v>102.7</v>
      </c>
      <c r="AD11">
        <v>104.6</v>
      </c>
      <c r="AE11">
        <v>106.4</v>
      </c>
      <c r="AF11">
        <f t="shared" si="0"/>
        <v>1492.8999999999999</v>
      </c>
      <c r="AG11">
        <f t="shared" si="2"/>
        <v>323.5</v>
      </c>
      <c r="AH11">
        <f t="shared" si="3"/>
        <v>212.6</v>
      </c>
      <c r="AI11">
        <f t="shared" si="4"/>
        <v>207.8</v>
      </c>
      <c r="AJ11">
        <f t="shared" si="5"/>
        <v>104.4</v>
      </c>
      <c r="AK11">
        <f t="shared" si="6"/>
        <v>104.5</v>
      </c>
      <c r="AL11">
        <f t="shared" si="7"/>
        <v>104.8</v>
      </c>
    </row>
    <row r="12" spans="1:38" x14ac:dyDescent="0.3">
      <c r="A12" t="s">
        <v>36</v>
      </c>
      <c r="B12">
        <v>2013</v>
      </c>
      <c r="C12" t="s">
        <v>46</v>
      </c>
      <c r="D12" t="str">
        <f t="shared" si="1"/>
        <v>2013 - April</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c r="AF12">
        <f t="shared" si="0"/>
        <v>1506.1999999999998</v>
      </c>
      <c r="AG12">
        <f t="shared" si="2"/>
        <v>322</v>
      </c>
      <c r="AH12">
        <f t="shared" si="3"/>
        <v>313.39999999999998</v>
      </c>
      <c r="AI12">
        <f t="shared" si="4"/>
        <v>208.9</v>
      </c>
      <c r="AJ12">
        <f t="shared" si="5"/>
        <v>105</v>
      </c>
      <c r="AK12">
        <f t="shared" si="6"/>
        <v>104</v>
      </c>
      <c r="AL12">
        <f t="shared" si="7"/>
        <v>105.2</v>
      </c>
    </row>
    <row r="13" spans="1:38" x14ac:dyDescent="0.3">
      <c r="A13" t="s">
        <v>37</v>
      </c>
      <c r="B13">
        <v>2013</v>
      </c>
      <c r="C13" t="s">
        <v>46</v>
      </c>
      <c r="D13" t="str">
        <f t="shared" si="1"/>
        <v>2013 - April</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c r="AF13">
        <f t="shared" si="0"/>
        <v>1497.7</v>
      </c>
      <c r="AG13">
        <f t="shared" si="2"/>
        <v>322.89999999999998</v>
      </c>
      <c r="AH13">
        <f t="shared" si="3"/>
        <v>313.3</v>
      </c>
      <c r="AI13">
        <f t="shared" si="4"/>
        <v>208.2</v>
      </c>
      <c r="AJ13">
        <f t="shared" si="5"/>
        <v>104.7</v>
      </c>
      <c r="AK13">
        <f t="shared" si="6"/>
        <v>104.2</v>
      </c>
      <c r="AL13">
        <f t="shared" si="7"/>
        <v>105</v>
      </c>
    </row>
    <row r="14" spans="1:38" x14ac:dyDescent="0.3">
      <c r="A14" t="s">
        <v>33</v>
      </c>
      <c r="B14">
        <v>2013</v>
      </c>
      <c r="C14" t="s">
        <v>34</v>
      </c>
      <c r="D14" t="str">
        <f t="shared" si="1"/>
        <v>2013 - May</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t="s">
        <v>43</v>
      </c>
      <c r="W14">
        <v>107.5</v>
      </c>
      <c r="X14">
        <v>106.8</v>
      </c>
      <c r="Y14">
        <v>105.7</v>
      </c>
      <c r="Z14">
        <v>104.1</v>
      </c>
      <c r="AA14">
        <v>105</v>
      </c>
      <c r="AB14">
        <v>105.5</v>
      </c>
      <c r="AC14">
        <v>102.1</v>
      </c>
      <c r="AD14">
        <v>104.8</v>
      </c>
      <c r="AE14">
        <v>107.2</v>
      </c>
      <c r="AF14">
        <f t="shared" si="0"/>
        <v>1502.1</v>
      </c>
      <c r="AG14">
        <f t="shared" si="2"/>
        <v>325.29999999999995</v>
      </c>
      <c r="AH14">
        <f t="shared" si="3"/>
        <v>214.3</v>
      </c>
      <c r="AI14">
        <f t="shared" si="4"/>
        <v>207.8</v>
      </c>
      <c r="AJ14">
        <f t="shared" si="5"/>
        <v>104.1</v>
      </c>
      <c r="AK14">
        <f t="shared" si="6"/>
        <v>105</v>
      </c>
      <c r="AL14">
        <f t="shared" si="7"/>
        <v>105.5</v>
      </c>
    </row>
    <row r="15" spans="1:38" x14ac:dyDescent="0.3">
      <c r="A15" t="s">
        <v>36</v>
      </c>
      <c r="B15">
        <v>2013</v>
      </c>
      <c r="C15" t="s">
        <v>34</v>
      </c>
      <c r="D15" t="str">
        <f t="shared" si="1"/>
        <v>2013 - May</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c r="AF15">
        <f t="shared" si="0"/>
        <v>1526.9999999999998</v>
      </c>
      <c r="AG15">
        <f t="shared" si="2"/>
        <v>323.5</v>
      </c>
      <c r="AH15">
        <f t="shared" si="3"/>
        <v>314.79999999999995</v>
      </c>
      <c r="AI15">
        <f t="shared" si="4"/>
        <v>208.8</v>
      </c>
      <c r="AJ15">
        <f t="shared" si="5"/>
        <v>103.9</v>
      </c>
      <c r="AK15">
        <f t="shared" si="6"/>
        <v>104.6</v>
      </c>
      <c r="AL15">
        <f t="shared" si="7"/>
        <v>105.7</v>
      </c>
    </row>
    <row r="16" spans="1:38" x14ac:dyDescent="0.3">
      <c r="A16" t="s">
        <v>37</v>
      </c>
      <c r="B16">
        <v>2013</v>
      </c>
      <c r="C16" t="s">
        <v>34</v>
      </c>
      <c r="D16" t="str">
        <f t="shared" si="1"/>
        <v>2013 - May</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c r="AF16">
        <f t="shared" si="0"/>
        <v>1510.7999999999997</v>
      </c>
      <c r="AG16">
        <f t="shared" si="2"/>
        <v>324.60000000000002</v>
      </c>
      <c r="AH16">
        <f t="shared" si="3"/>
        <v>314.8</v>
      </c>
      <c r="AI16">
        <f t="shared" si="4"/>
        <v>208.2</v>
      </c>
      <c r="AJ16">
        <f t="shared" si="5"/>
        <v>104</v>
      </c>
      <c r="AK16">
        <f t="shared" si="6"/>
        <v>104.8</v>
      </c>
      <c r="AL16">
        <f t="shared" si="7"/>
        <v>105.6</v>
      </c>
    </row>
    <row r="17" spans="1:38" x14ac:dyDescent="0.3">
      <c r="A17" t="s">
        <v>33</v>
      </c>
      <c r="B17">
        <v>2013</v>
      </c>
      <c r="C17" t="s">
        <v>47</v>
      </c>
      <c r="D17" t="str">
        <f t="shared" si="1"/>
        <v>2013 - June</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t="s">
        <v>43</v>
      </c>
      <c r="W17">
        <v>108.5</v>
      </c>
      <c r="X17">
        <v>107.5</v>
      </c>
      <c r="Y17">
        <v>106.3</v>
      </c>
      <c r="Z17">
        <v>105</v>
      </c>
      <c r="AA17">
        <v>105.6</v>
      </c>
      <c r="AB17">
        <v>106.5</v>
      </c>
      <c r="AC17">
        <v>102.5</v>
      </c>
      <c r="AD17">
        <v>105.5</v>
      </c>
      <c r="AE17">
        <v>108.9</v>
      </c>
      <c r="AF17">
        <f t="shared" si="0"/>
        <v>1529</v>
      </c>
      <c r="AG17">
        <f t="shared" si="2"/>
        <v>328</v>
      </c>
      <c r="AH17">
        <f t="shared" si="3"/>
        <v>216</v>
      </c>
      <c r="AI17">
        <f t="shared" si="4"/>
        <v>208.8</v>
      </c>
      <c r="AJ17">
        <f t="shared" si="5"/>
        <v>105</v>
      </c>
      <c r="AK17">
        <f t="shared" si="6"/>
        <v>105.6</v>
      </c>
      <c r="AL17">
        <f t="shared" si="7"/>
        <v>106.5</v>
      </c>
    </row>
    <row r="18" spans="1:38" x14ac:dyDescent="0.3">
      <c r="A18" t="s">
        <v>36</v>
      </c>
      <c r="B18">
        <v>2013</v>
      </c>
      <c r="C18" t="s">
        <v>47</v>
      </c>
      <c r="D18" t="str">
        <f t="shared" si="1"/>
        <v>2013 - June</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c r="AF18">
        <f t="shared" si="0"/>
        <v>1575.5000000000002</v>
      </c>
      <c r="AG18">
        <f t="shared" si="2"/>
        <v>325.3</v>
      </c>
      <c r="AH18">
        <f t="shared" si="3"/>
        <v>322.3</v>
      </c>
      <c r="AI18">
        <f t="shared" si="4"/>
        <v>209.8</v>
      </c>
      <c r="AJ18">
        <f t="shared" si="5"/>
        <v>105.2</v>
      </c>
      <c r="AK18">
        <f t="shared" si="6"/>
        <v>105.2</v>
      </c>
      <c r="AL18">
        <f t="shared" si="7"/>
        <v>108.1</v>
      </c>
    </row>
    <row r="19" spans="1:38" x14ac:dyDescent="0.3">
      <c r="A19" t="s">
        <v>37</v>
      </c>
      <c r="B19">
        <v>2013</v>
      </c>
      <c r="C19" t="s">
        <v>47</v>
      </c>
      <c r="D19" t="str">
        <f t="shared" si="1"/>
        <v>2013 - June</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c r="AF19">
        <f t="shared" si="0"/>
        <v>1545.5</v>
      </c>
      <c r="AG19">
        <f t="shared" si="2"/>
        <v>326.89999999999998</v>
      </c>
      <c r="AH19">
        <f t="shared" si="3"/>
        <v>322.5</v>
      </c>
      <c r="AI19">
        <f t="shared" si="4"/>
        <v>209.2</v>
      </c>
      <c r="AJ19">
        <f t="shared" si="5"/>
        <v>105.1</v>
      </c>
      <c r="AK19">
        <f t="shared" si="6"/>
        <v>105.4</v>
      </c>
      <c r="AL19">
        <f t="shared" si="7"/>
        <v>107.4</v>
      </c>
    </row>
    <row r="20" spans="1:38" x14ac:dyDescent="0.3">
      <c r="A20" t="s">
        <v>33</v>
      </c>
      <c r="B20">
        <v>2013</v>
      </c>
      <c r="C20" t="s">
        <v>48</v>
      </c>
      <c r="D20" t="str">
        <f t="shared" si="1"/>
        <v>2013 - July</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t="s">
        <v>43</v>
      </c>
      <c r="W20">
        <v>109.5</v>
      </c>
      <c r="X20">
        <v>108.3</v>
      </c>
      <c r="Y20">
        <v>106.9</v>
      </c>
      <c r="Z20">
        <v>106.8</v>
      </c>
      <c r="AA20">
        <v>106.4</v>
      </c>
      <c r="AB20">
        <v>107.8</v>
      </c>
      <c r="AC20">
        <v>102.5</v>
      </c>
      <c r="AD20">
        <v>106.5</v>
      </c>
      <c r="AE20">
        <v>110.7</v>
      </c>
      <c r="AF20">
        <f t="shared" si="0"/>
        <v>1555.6999999999996</v>
      </c>
      <c r="AG20">
        <f t="shared" si="2"/>
        <v>330.3</v>
      </c>
      <c r="AH20">
        <f t="shared" si="3"/>
        <v>217.8</v>
      </c>
      <c r="AI20">
        <f t="shared" si="4"/>
        <v>209.4</v>
      </c>
      <c r="AJ20">
        <f t="shared" si="5"/>
        <v>106.8</v>
      </c>
      <c r="AK20">
        <f t="shared" si="6"/>
        <v>106.4</v>
      </c>
      <c r="AL20">
        <f t="shared" si="7"/>
        <v>107.8</v>
      </c>
    </row>
    <row r="21" spans="1:38" x14ac:dyDescent="0.3">
      <c r="A21" t="s">
        <v>36</v>
      </c>
      <c r="B21">
        <v>2013</v>
      </c>
      <c r="C21" t="s">
        <v>48</v>
      </c>
      <c r="D21" t="str">
        <f t="shared" si="1"/>
        <v>2013 - July</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c r="AF21">
        <f t="shared" si="0"/>
        <v>1601.1000000000001</v>
      </c>
      <c r="AG21">
        <f t="shared" si="2"/>
        <v>327.10000000000002</v>
      </c>
      <c r="AH21">
        <f t="shared" si="3"/>
        <v>324.39999999999998</v>
      </c>
      <c r="AI21">
        <f t="shared" si="4"/>
        <v>210.3</v>
      </c>
      <c r="AJ21">
        <f t="shared" si="5"/>
        <v>107.3</v>
      </c>
      <c r="AK21">
        <f t="shared" si="6"/>
        <v>105.9</v>
      </c>
      <c r="AL21">
        <f t="shared" si="7"/>
        <v>110.1</v>
      </c>
    </row>
    <row r="22" spans="1:38" x14ac:dyDescent="0.3">
      <c r="A22" t="s">
        <v>37</v>
      </c>
      <c r="B22">
        <v>2013</v>
      </c>
      <c r="C22" t="s">
        <v>48</v>
      </c>
      <c r="D22" t="str">
        <f t="shared" si="1"/>
        <v>2013 - July</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c r="AF22">
        <f t="shared" si="0"/>
        <v>1571.6999999999998</v>
      </c>
      <c r="AG22">
        <f t="shared" si="2"/>
        <v>329</v>
      </c>
      <c r="AH22">
        <f t="shared" si="3"/>
        <v>325.10000000000002</v>
      </c>
      <c r="AI22">
        <f t="shared" si="4"/>
        <v>209.8</v>
      </c>
      <c r="AJ22">
        <f t="shared" si="5"/>
        <v>107.1</v>
      </c>
      <c r="AK22">
        <f t="shared" si="6"/>
        <v>106.1</v>
      </c>
      <c r="AL22">
        <f t="shared" si="7"/>
        <v>109.1</v>
      </c>
    </row>
    <row r="23" spans="1:38" x14ac:dyDescent="0.3">
      <c r="A23" t="s">
        <v>33</v>
      </c>
      <c r="B23">
        <v>2013</v>
      </c>
      <c r="C23" t="s">
        <v>49</v>
      </c>
      <c r="D23" t="str">
        <f t="shared" si="1"/>
        <v>2013 - August</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t="s">
        <v>43</v>
      </c>
      <c r="W23">
        <v>109.9</v>
      </c>
      <c r="X23">
        <v>108.7</v>
      </c>
      <c r="Y23">
        <v>107.5</v>
      </c>
      <c r="Z23">
        <v>107.8</v>
      </c>
      <c r="AA23">
        <v>106.8</v>
      </c>
      <c r="AB23">
        <v>108.7</v>
      </c>
      <c r="AC23">
        <v>105</v>
      </c>
      <c r="AD23">
        <v>107.5</v>
      </c>
      <c r="AE23">
        <v>112.1</v>
      </c>
      <c r="AF23">
        <f t="shared" si="0"/>
        <v>1573.2</v>
      </c>
      <c r="AG23">
        <f t="shared" si="2"/>
        <v>332.6</v>
      </c>
      <c r="AH23">
        <f t="shared" si="3"/>
        <v>218.60000000000002</v>
      </c>
      <c r="AI23">
        <f t="shared" si="4"/>
        <v>212.5</v>
      </c>
      <c r="AJ23">
        <f t="shared" si="5"/>
        <v>107.8</v>
      </c>
      <c r="AK23">
        <f t="shared" si="6"/>
        <v>106.8</v>
      </c>
      <c r="AL23">
        <f t="shared" si="7"/>
        <v>108.7</v>
      </c>
    </row>
    <row r="24" spans="1:38" x14ac:dyDescent="0.3">
      <c r="A24" t="s">
        <v>36</v>
      </c>
      <c r="B24">
        <v>2013</v>
      </c>
      <c r="C24" t="s">
        <v>49</v>
      </c>
      <c r="D24" t="str">
        <f t="shared" si="1"/>
        <v>2013 - August</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c r="AF24">
        <f t="shared" si="0"/>
        <v>1618.5000000000002</v>
      </c>
      <c r="AG24">
        <f t="shared" si="2"/>
        <v>329.09999999999997</v>
      </c>
      <c r="AH24">
        <f t="shared" si="3"/>
        <v>326.89999999999998</v>
      </c>
      <c r="AI24">
        <f t="shared" si="4"/>
        <v>213.6</v>
      </c>
      <c r="AJ24">
        <f t="shared" si="5"/>
        <v>108.1</v>
      </c>
      <c r="AK24">
        <f t="shared" si="6"/>
        <v>106.5</v>
      </c>
      <c r="AL24">
        <f t="shared" si="7"/>
        <v>110.8</v>
      </c>
    </row>
    <row r="25" spans="1:38" x14ac:dyDescent="0.3">
      <c r="A25" t="s">
        <v>37</v>
      </c>
      <c r="B25">
        <v>2013</v>
      </c>
      <c r="C25" t="s">
        <v>49</v>
      </c>
      <c r="D25" t="str">
        <f t="shared" si="1"/>
        <v>2013 - August</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c r="AF25">
        <f t="shared" si="0"/>
        <v>1588.6000000000001</v>
      </c>
      <c r="AG25">
        <f t="shared" si="2"/>
        <v>331.1</v>
      </c>
      <c r="AH25">
        <f t="shared" si="3"/>
        <v>327.3</v>
      </c>
      <c r="AI25">
        <f t="shared" si="4"/>
        <v>212.9</v>
      </c>
      <c r="AJ25">
        <f t="shared" si="5"/>
        <v>108</v>
      </c>
      <c r="AK25">
        <f t="shared" si="6"/>
        <v>106.6</v>
      </c>
      <c r="AL25">
        <f t="shared" si="7"/>
        <v>109.9</v>
      </c>
    </row>
    <row r="26" spans="1:38" x14ac:dyDescent="0.3">
      <c r="A26" t="s">
        <v>33</v>
      </c>
      <c r="B26">
        <v>2013</v>
      </c>
      <c r="C26" t="s">
        <v>50</v>
      </c>
      <c r="D26" t="str">
        <f t="shared" si="1"/>
        <v>2013 - September</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t="s">
        <v>43</v>
      </c>
      <c r="W26">
        <v>111.1</v>
      </c>
      <c r="X26">
        <v>109.6</v>
      </c>
      <c r="Y26">
        <v>108.3</v>
      </c>
      <c r="Z26">
        <v>109.3</v>
      </c>
      <c r="AA26">
        <v>107.7</v>
      </c>
      <c r="AB26">
        <v>109.8</v>
      </c>
      <c r="AC26">
        <v>106.7</v>
      </c>
      <c r="AD26">
        <v>108.7</v>
      </c>
      <c r="AE26">
        <v>114.2</v>
      </c>
      <c r="AF26">
        <f t="shared" si="0"/>
        <v>1600.2000000000003</v>
      </c>
      <c r="AG26">
        <f t="shared" si="2"/>
        <v>336.6</v>
      </c>
      <c r="AH26">
        <f t="shared" si="3"/>
        <v>220.7</v>
      </c>
      <c r="AI26">
        <f t="shared" si="4"/>
        <v>215</v>
      </c>
      <c r="AJ26">
        <f t="shared" si="5"/>
        <v>109.3</v>
      </c>
      <c r="AK26">
        <f t="shared" si="6"/>
        <v>107.7</v>
      </c>
      <c r="AL26">
        <f t="shared" si="7"/>
        <v>109.8</v>
      </c>
    </row>
    <row r="27" spans="1:38" x14ac:dyDescent="0.3">
      <c r="A27" t="s">
        <v>36</v>
      </c>
      <c r="B27">
        <v>2013</v>
      </c>
      <c r="C27" t="s">
        <v>50</v>
      </c>
      <c r="D27" t="str">
        <f t="shared" si="1"/>
        <v>2013 - September</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c r="AF27">
        <f t="shared" si="0"/>
        <v>1613.3000000000002</v>
      </c>
      <c r="AG27">
        <f t="shared" si="2"/>
        <v>331.5</v>
      </c>
      <c r="AH27">
        <f t="shared" si="3"/>
        <v>328.79999999999995</v>
      </c>
      <c r="AI27">
        <f t="shared" si="4"/>
        <v>214.8</v>
      </c>
      <c r="AJ27">
        <f t="shared" si="5"/>
        <v>110.4</v>
      </c>
      <c r="AK27">
        <f t="shared" si="6"/>
        <v>107.4</v>
      </c>
      <c r="AL27">
        <f t="shared" si="7"/>
        <v>111.2</v>
      </c>
    </row>
    <row r="28" spans="1:38" x14ac:dyDescent="0.3">
      <c r="A28" t="s">
        <v>37</v>
      </c>
      <c r="B28">
        <v>2013</v>
      </c>
      <c r="C28" t="s">
        <v>50</v>
      </c>
      <c r="D28" t="str">
        <f t="shared" si="1"/>
        <v>2013 - September</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c r="AF28">
        <f t="shared" si="0"/>
        <v>1603.6999999999998</v>
      </c>
      <c r="AG28">
        <f t="shared" si="2"/>
        <v>334.5</v>
      </c>
      <c r="AH28">
        <f t="shared" si="3"/>
        <v>329.79999999999995</v>
      </c>
      <c r="AI28">
        <f t="shared" si="4"/>
        <v>214.89999999999998</v>
      </c>
      <c r="AJ28">
        <f t="shared" si="5"/>
        <v>109.9</v>
      </c>
      <c r="AK28">
        <f t="shared" si="6"/>
        <v>107.5</v>
      </c>
      <c r="AL28">
        <f t="shared" si="7"/>
        <v>110.6</v>
      </c>
    </row>
    <row r="29" spans="1:38" x14ac:dyDescent="0.3">
      <c r="A29" t="s">
        <v>33</v>
      </c>
      <c r="B29">
        <v>2013</v>
      </c>
      <c r="C29" t="s">
        <v>51</v>
      </c>
      <c r="D29" t="str">
        <f t="shared" si="1"/>
        <v>2013 - October</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t="s">
        <v>43</v>
      </c>
      <c r="W29">
        <v>111.6</v>
      </c>
      <c r="X29">
        <v>110.4</v>
      </c>
      <c r="Y29">
        <v>108.9</v>
      </c>
      <c r="Z29">
        <v>109.3</v>
      </c>
      <c r="AA29">
        <v>108.3</v>
      </c>
      <c r="AB29">
        <v>110.2</v>
      </c>
      <c r="AC29">
        <v>107.5</v>
      </c>
      <c r="AD29">
        <v>109.1</v>
      </c>
      <c r="AE29">
        <v>115.5</v>
      </c>
      <c r="AF29">
        <f t="shared" si="0"/>
        <v>1620.2</v>
      </c>
      <c r="AG29">
        <f t="shared" si="2"/>
        <v>339.29999999999995</v>
      </c>
      <c r="AH29">
        <f t="shared" si="3"/>
        <v>222</v>
      </c>
      <c r="AI29">
        <f t="shared" si="4"/>
        <v>216.4</v>
      </c>
      <c r="AJ29">
        <f t="shared" si="5"/>
        <v>109.3</v>
      </c>
      <c r="AK29">
        <f t="shared" si="6"/>
        <v>108.3</v>
      </c>
      <c r="AL29">
        <f t="shared" si="7"/>
        <v>110.2</v>
      </c>
    </row>
    <row r="30" spans="1:38" x14ac:dyDescent="0.3">
      <c r="A30" t="s">
        <v>36</v>
      </c>
      <c r="B30">
        <v>2013</v>
      </c>
      <c r="C30" t="s">
        <v>51</v>
      </c>
      <c r="D30" t="str">
        <f t="shared" si="1"/>
        <v>2013 - October</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c r="AF30">
        <f t="shared" si="0"/>
        <v>1630.6999999999998</v>
      </c>
      <c r="AG30">
        <f t="shared" si="2"/>
        <v>334.2</v>
      </c>
      <c r="AH30">
        <f t="shared" si="3"/>
        <v>330.4</v>
      </c>
      <c r="AI30">
        <f t="shared" si="4"/>
        <v>215.5</v>
      </c>
      <c r="AJ30">
        <f t="shared" si="5"/>
        <v>109.7</v>
      </c>
      <c r="AK30">
        <f t="shared" si="6"/>
        <v>108</v>
      </c>
      <c r="AL30">
        <f t="shared" si="7"/>
        <v>111.3</v>
      </c>
    </row>
    <row r="31" spans="1:38" x14ac:dyDescent="0.3">
      <c r="A31" t="s">
        <v>37</v>
      </c>
      <c r="B31">
        <v>2013</v>
      </c>
      <c r="C31" t="s">
        <v>51</v>
      </c>
      <c r="D31" t="str">
        <f t="shared" si="1"/>
        <v>2013 - October</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c r="AF31">
        <f t="shared" si="0"/>
        <v>1622.7000000000003</v>
      </c>
      <c r="AG31">
        <f t="shared" si="2"/>
        <v>337.2</v>
      </c>
      <c r="AH31">
        <f t="shared" si="3"/>
        <v>331.7</v>
      </c>
      <c r="AI31">
        <f t="shared" si="4"/>
        <v>216</v>
      </c>
      <c r="AJ31">
        <f t="shared" si="5"/>
        <v>109.5</v>
      </c>
      <c r="AK31">
        <f t="shared" si="6"/>
        <v>108.1</v>
      </c>
      <c r="AL31">
        <f t="shared" si="7"/>
        <v>110.8</v>
      </c>
    </row>
    <row r="32" spans="1:38" x14ac:dyDescent="0.3">
      <c r="A32" t="s">
        <v>33</v>
      </c>
      <c r="B32">
        <v>2013</v>
      </c>
      <c r="C32" t="s">
        <v>52</v>
      </c>
      <c r="D32" t="str">
        <f t="shared" si="1"/>
        <v xml:space="preserve">2013 - November </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t="s">
        <v>43</v>
      </c>
      <c r="W32">
        <v>112.6</v>
      </c>
      <c r="X32">
        <v>111.3</v>
      </c>
      <c r="Y32">
        <v>109.7</v>
      </c>
      <c r="Z32">
        <v>109.6</v>
      </c>
      <c r="AA32">
        <v>108.7</v>
      </c>
      <c r="AB32">
        <v>111</v>
      </c>
      <c r="AC32">
        <v>108.2</v>
      </c>
      <c r="AD32">
        <v>109.8</v>
      </c>
      <c r="AE32">
        <v>117.4</v>
      </c>
      <c r="AF32">
        <f t="shared" si="0"/>
        <v>1649.6</v>
      </c>
      <c r="AG32">
        <f t="shared" si="2"/>
        <v>342.1</v>
      </c>
      <c r="AH32">
        <f t="shared" si="3"/>
        <v>223.89999999999998</v>
      </c>
      <c r="AI32">
        <f t="shared" si="4"/>
        <v>217.9</v>
      </c>
      <c r="AJ32">
        <f t="shared" si="5"/>
        <v>109.6</v>
      </c>
      <c r="AK32">
        <f t="shared" si="6"/>
        <v>108.7</v>
      </c>
      <c r="AL32">
        <f t="shared" si="7"/>
        <v>111</v>
      </c>
    </row>
    <row r="33" spans="1:38" x14ac:dyDescent="0.3">
      <c r="A33" t="s">
        <v>36</v>
      </c>
      <c r="B33">
        <v>2013</v>
      </c>
      <c r="C33" t="s">
        <v>53</v>
      </c>
      <c r="D33" t="str">
        <f t="shared" si="1"/>
        <v>2013 - November</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c r="AF33">
        <f t="shared" si="0"/>
        <v>1658.6999999999998</v>
      </c>
      <c r="AG33">
        <f t="shared" si="2"/>
        <v>336.8</v>
      </c>
      <c r="AH33">
        <f t="shared" si="3"/>
        <v>332</v>
      </c>
      <c r="AI33">
        <f t="shared" si="4"/>
        <v>216.5</v>
      </c>
      <c r="AJ33">
        <f t="shared" si="5"/>
        <v>109.5</v>
      </c>
      <c r="AK33">
        <f t="shared" si="6"/>
        <v>108.5</v>
      </c>
      <c r="AL33">
        <f t="shared" si="7"/>
        <v>111.3</v>
      </c>
    </row>
    <row r="34" spans="1:38" x14ac:dyDescent="0.3">
      <c r="A34" t="s">
        <v>37</v>
      </c>
      <c r="B34">
        <v>2013</v>
      </c>
      <c r="C34" t="s">
        <v>53</v>
      </c>
      <c r="D34" t="str">
        <f t="shared" si="1"/>
        <v>2013 - November</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c r="AF34">
        <f t="shared" si="0"/>
        <v>1651.8999999999999</v>
      </c>
      <c r="AG34">
        <f t="shared" si="2"/>
        <v>339.90000000000003</v>
      </c>
      <c r="AH34">
        <f t="shared" si="3"/>
        <v>333.79999999999995</v>
      </c>
      <c r="AI34">
        <f t="shared" si="4"/>
        <v>217.39999999999998</v>
      </c>
      <c r="AJ34">
        <f t="shared" si="5"/>
        <v>109.5</v>
      </c>
      <c r="AK34">
        <f t="shared" si="6"/>
        <v>108.6</v>
      </c>
      <c r="AL34">
        <f t="shared" si="7"/>
        <v>111.2</v>
      </c>
    </row>
    <row r="35" spans="1:38" x14ac:dyDescent="0.3">
      <c r="A35" t="s">
        <v>33</v>
      </c>
      <c r="B35">
        <v>2013</v>
      </c>
      <c r="C35" t="s">
        <v>54</v>
      </c>
      <c r="D35" t="str">
        <f t="shared" si="1"/>
        <v>2013 - December</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t="s">
        <v>43</v>
      </c>
      <c r="W35">
        <v>112.8</v>
      </c>
      <c r="X35">
        <v>112.1</v>
      </c>
      <c r="Y35">
        <v>110.1</v>
      </c>
      <c r="Z35">
        <v>109.9</v>
      </c>
      <c r="AA35">
        <v>109.2</v>
      </c>
      <c r="AB35">
        <v>111.6</v>
      </c>
      <c r="AC35">
        <v>108.1</v>
      </c>
      <c r="AD35">
        <v>110.1</v>
      </c>
      <c r="AE35">
        <v>115.5</v>
      </c>
      <c r="AF35">
        <f t="shared" si="0"/>
        <v>1622.6</v>
      </c>
      <c r="AG35">
        <f t="shared" si="2"/>
        <v>345.3</v>
      </c>
      <c r="AH35">
        <f t="shared" si="3"/>
        <v>224.89999999999998</v>
      </c>
      <c r="AI35">
        <f t="shared" si="4"/>
        <v>218.2</v>
      </c>
      <c r="AJ35">
        <f t="shared" si="5"/>
        <v>109.9</v>
      </c>
      <c r="AK35">
        <f t="shared" si="6"/>
        <v>109.2</v>
      </c>
      <c r="AL35">
        <f t="shared" si="7"/>
        <v>111.6</v>
      </c>
    </row>
    <row r="36" spans="1:38" x14ac:dyDescent="0.3">
      <c r="A36" t="s">
        <v>36</v>
      </c>
      <c r="B36">
        <v>2013</v>
      </c>
      <c r="C36" t="s">
        <v>54</v>
      </c>
      <c r="D36" t="str">
        <f t="shared" si="1"/>
        <v>2013 - December</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c r="AF36">
        <f t="shared" si="0"/>
        <v>1619.4</v>
      </c>
      <c r="AG36">
        <f t="shared" si="2"/>
        <v>338.8</v>
      </c>
      <c r="AH36">
        <f t="shared" si="3"/>
        <v>332.40000000000003</v>
      </c>
      <c r="AI36">
        <f t="shared" si="4"/>
        <v>216.7</v>
      </c>
      <c r="AJ36">
        <f t="shared" si="5"/>
        <v>109.7</v>
      </c>
      <c r="AK36">
        <f t="shared" si="6"/>
        <v>108.9</v>
      </c>
      <c r="AL36">
        <f t="shared" si="7"/>
        <v>111.4</v>
      </c>
    </row>
    <row r="37" spans="1:38" x14ac:dyDescent="0.3">
      <c r="A37" t="s">
        <v>37</v>
      </c>
      <c r="B37">
        <v>2013</v>
      </c>
      <c r="C37" t="s">
        <v>54</v>
      </c>
      <c r="D37" t="str">
        <f t="shared" si="1"/>
        <v>2013 - December</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c r="AF37">
        <f t="shared" si="0"/>
        <v>1621.3000000000002</v>
      </c>
      <c r="AG37">
        <f t="shared" si="2"/>
        <v>342.7</v>
      </c>
      <c r="AH37">
        <f t="shared" si="3"/>
        <v>334.3</v>
      </c>
      <c r="AI37">
        <f t="shared" si="4"/>
        <v>217.60000000000002</v>
      </c>
      <c r="AJ37">
        <f t="shared" si="5"/>
        <v>109.8</v>
      </c>
      <c r="AK37">
        <f t="shared" si="6"/>
        <v>109</v>
      </c>
      <c r="AL37">
        <f t="shared" si="7"/>
        <v>111.5</v>
      </c>
    </row>
    <row r="38" spans="1:38" x14ac:dyDescent="0.3">
      <c r="A38" t="s">
        <v>33</v>
      </c>
      <c r="B38">
        <v>2014</v>
      </c>
      <c r="C38" t="s">
        <v>42</v>
      </c>
      <c r="D38" t="str">
        <f t="shared" si="1"/>
        <v>2014 - January</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t="s">
        <v>43</v>
      </c>
      <c r="W38">
        <v>113</v>
      </c>
      <c r="X38">
        <v>112.6</v>
      </c>
      <c r="Y38">
        <v>110.6</v>
      </c>
      <c r="Z38">
        <v>110.5</v>
      </c>
      <c r="AA38">
        <v>109.6</v>
      </c>
      <c r="AB38">
        <v>111.8</v>
      </c>
      <c r="AC38">
        <v>108.3</v>
      </c>
      <c r="AD38">
        <v>110.6</v>
      </c>
      <c r="AE38">
        <v>114.2</v>
      </c>
      <c r="AF38">
        <f t="shared" si="0"/>
        <v>1600.6000000000001</v>
      </c>
      <c r="AG38">
        <f t="shared" si="2"/>
        <v>347.2</v>
      </c>
      <c r="AH38">
        <f t="shared" si="3"/>
        <v>225.6</v>
      </c>
      <c r="AI38">
        <f t="shared" si="4"/>
        <v>218.89999999999998</v>
      </c>
      <c r="AJ38">
        <f t="shared" si="5"/>
        <v>110.5</v>
      </c>
      <c r="AK38">
        <f t="shared" si="6"/>
        <v>109.6</v>
      </c>
      <c r="AL38">
        <f t="shared" si="7"/>
        <v>111.8</v>
      </c>
    </row>
    <row r="39" spans="1:38" x14ac:dyDescent="0.3">
      <c r="A39" t="s">
        <v>36</v>
      </c>
      <c r="B39">
        <v>2014</v>
      </c>
      <c r="C39" t="s">
        <v>42</v>
      </c>
      <c r="D39" t="str">
        <f t="shared" si="1"/>
        <v>2014 - January</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c r="AF39">
        <f t="shared" si="0"/>
        <v>1600</v>
      </c>
      <c r="AG39">
        <f t="shared" si="2"/>
        <v>340.4</v>
      </c>
      <c r="AH39">
        <f t="shared" si="3"/>
        <v>334.5</v>
      </c>
      <c r="AI39">
        <f t="shared" si="4"/>
        <v>217.7</v>
      </c>
      <c r="AJ39">
        <f t="shared" si="5"/>
        <v>110.8</v>
      </c>
      <c r="AK39">
        <f t="shared" si="6"/>
        <v>109.8</v>
      </c>
      <c r="AL39">
        <f t="shared" si="7"/>
        <v>111.5</v>
      </c>
    </row>
    <row r="40" spans="1:38" x14ac:dyDescent="0.3">
      <c r="A40" t="s">
        <v>37</v>
      </c>
      <c r="B40">
        <v>2014</v>
      </c>
      <c r="C40" t="s">
        <v>42</v>
      </c>
      <c r="D40" t="str">
        <f t="shared" si="1"/>
        <v>2014 - January</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c r="AF40">
        <f t="shared" si="0"/>
        <v>1600.2999999999997</v>
      </c>
      <c r="AG40">
        <f t="shared" si="2"/>
        <v>344.4</v>
      </c>
      <c r="AH40">
        <f t="shared" si="3"/>
        <v>336.1</v>
      </c>
      <c r="AI40">
        <f t="shared" si="4"/>
        <v>218.5</v>
      </c>
      <c r="AJ40">
        <f t="shared" si="5"/>
        <v>110.7</v>
      </c>
      <c r="AK40">
        <f t="shared" si="6"/>
        <v>109.7</v>
      </c>
      <c r="AL40">
        <f t="shared" si="7"/>
        <v>111.6</v>
      </c>
    </row>
    <row r="41" spans="1:38" x14ac:dyDescent="0.3">
      <c r="A41" t="s">
        <v>33</v>
      </c>
      <c r="B41">
        <v>2014</v>
      </c>
      <c r="C41" t="s">
        <v>44</v>
      </c>
      <c r="D41" t="str">
        <f t="shared" si="1"/>
        <v>2014 - February</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t="s">
        <v>43</v>
      </c>
      <c r="W41">
        <v>113.2</v>
      </c>
      <c r="X41">
        <v>112.9</v>
      </c>
      <c r="Y41">
        <v>110.9</v>
      </c>
      <c r="Z41">
        <v>110.8</v>
      </c>
      <c r="AA41">
        <v>109.9</v>
      </c>
      <c r="AB41">
        <v>112</v>
      </c>
      <c r="AC41">
        <v>108.7</v>
      </c>
      <c r="AD41">
        <v>110.9</v>
      </c>
      <c r="AE41">
        <v>114</v>
      </c>
      <c r="AF41">
        <f t="shared" si="0"/>
        <v>1596.4</v>
      </c>
      <c r="AG41">
        <f t="shared" si="2"/>
        <v>348.3</v>
      </c>
      <c r="AH41">
        <f t="shared" si="3"/>
        <v>226.10000000000002</v>
      </c>
      <c r="AI41">
        <f t="shared" si="4"/>
        <v>219.60000000000002</v>
      </c>
      <c r="AJ41">
        <f t="shared" si="5"/>
        <v>110.8</v>
      </c>
      <c r="AK41">
        <f t="shared" si="6"/>
        <v>109.9</v>
      </c>
      <c r="AL41">
        <f t="shared" si="7"/>
        <v>112</v>
      </c>
    </row>
    <row r="42" spans="1:38" x14ac:dyDescent="0.3">
      <c r="A42" t="s">
        <v>36</v>
      </c>
      <c r="B42">
        <v>2014</v>
      </c>
      <c r="C42" t="s">
        <v>44</v>
      </c>
      <c r="D42" t="str">
        <f t="shared" si="1"/>
        <v>2014 - February</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c r="AF42">
        <f t="shared" si="0"/>
        <v>1592.2</v>
      </c>
      <c r="AG42">
        <f t="shared" si="2"/>
        <v>341.7</v>
      </c>
      <c r="AH42">
        <f t="shared" si="3"/>
        <v>336.2</v>
      </c>
      <c r="AI42">
        <f t="shared" si="4"/>
        <v>219.10000000000002</v>
      </c>
      <c r="AJ42">
        <f t="shared" si="5"/>
        <v>111.3</v>
      </c>
      <c r="AK42">
        <f t="shared" si="6"/>
        <v>110.3</v>
      </c>
      <c r="AL42">
        <f t="shared" si="7"/>
        <v>111.6</v>
      </c>
    </row>
    <row r="43" spans="1:38" x14ac:dyDescent="0.3">
      <c r="A43" t="s">
        <v>37</v>
      </c>
      <c r="B43">
        <v>2014</v>
      </c>
      <c r="C43" t="s">
        <v>44</v>
      </c>
      <c r="D43" t="str">
        <f t="shared" si="1"/>
        <v>2014 - February</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c r="AF43">
        <f t="shared" si="0"/>
        <v>1594.8</v>
      </c>
      <c r="AG43">
        <f t="shared" si="2"/>
        <v>345.6</v>
      </c>
      <c r="AH43">
        <f t="shared" si="3"/>
        <v>337.7</v>
      </c>
      <c r="AI43">
        <f t="shared" si="4"/>
        <v>219.4</v>
      </c>
      <c r="AJ43">
        <f t="shared" si="5"/>
        <v>111.1</v>
      </c>
      <c r="AK43">
        <f t="shared" si="6"/>
        <v>110.1</v>
      </c>
      <c r="AL43">
        <f t="shared" si="7"/>
        <v>111.8</v>
      </c>
    </row>
    <row r="44" spans="1:38" x14ac:dyDescent="0.3">
      <c r="A44" t="s">
        <v>33</v>
      </c>
      <c r="B44">
        <v>2014</v>
      </c>
      <c r="C44" t="s">
        <v>45</v>
      </c>
      <c r="D44" t="str">
        <f t="shared" si="1"/>
        <v>2014 - March</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t="s">
        <v>43</v>
      </c>
      <c r="W44">
        <v>113.4</v>
      </c>
      <c r="X44">
        <v>113.4</v>
      </c>
      <c r="Y44">
        <v>111.4</v>
      </c>
      <c r="Z44">
        <v>111.2</v>
      </c>
      <c r="AA44">
        <v>110.2</v>
      </c>
      <c r="AB44">
        <v>112.4</v>
      </c>
      <c r="AC44">
        <v>108.9</v>
      </c>
      <c r="AD44">
        <v>111.3</v>
      </c>
      <c r="AE44">
        <v>114.6</v>
      </c>
      <c r="AF44">
        <f t="shared" si="0"/>
        <v>1606</v>
      </c>
      <c r="AG44">
        <f t="shared" si="2"/>
        <v>349.6</v>
      </c>
      <c r="AH44">
        <f t="shared" si="3"/>
        <v>226.8</v>
      </c>
      <c r="AI44">
        <f t="shared" si="4"/>
        <v>220.3</v>
      </c>
      <c r="AJ44">
        <f t="shared" si="5"/>
        <v>111.2</v>
      </c>
      <c r="AK44">
        <f t="shared" si="6"/>
        <v>110.2</v>
      </c>
      <c r="AL44">
        <f t="shared" si="7"/>
        <v>112.4</v>
      </c>
    </row>
    <row r="45" spans="1:38" x14ac:dyDescent="0.3">
      <c r="A45" t="s">
        <v>36</v>
      </c>
      <c r="B45">
        <v>2014</v>
      </c>
      <c r="C45" t="s">
        <v>45</v>
      </c>
      <c r="D45" t="str">
        <f t="shared" si="1"/>
        <v>2014 - March</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c r="AF45">
        <f t="shared" si="0"/>
        <v>1599.7</v>
      </c>
      <c r="AG45">
        <f t="shared" si="2"/>
        <v>343.09999999999997</v>
      </c>
      <c r="AH45">
        <f t="shared" si="3"/>
        <v>337.1</v>
      </c>
      <c r="AI45">
        <f t="shared" si="4"/>
        <v>220</v>
      </c>
      <c r="AJ45">
        <f t="shared" si="5"/>
        <v>111.6</v>
      </c>
      <c r="AK45">
        <f t="shared" si="6"/>
        <v>110.9</v>
      </c>
      <c r="AL45">
        <f t="shared" si="7"/>
        <v>111.8</v>
      </c>
    </row>
    <row r="46" spans="1:38" x14ac:dyDescent="0.3">
      <c r="A46" t="s">
        <v>37</v>
      </c>
      <c r="B46">
        <v>2014</v>
      </c>
      <c r="C46" t="s">
        <v>55</v>
      </c>
      <c r="D46" t="str">
        <f t="shared" si="1"/>
        <v>2014 - Marcrh</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c r="AF46">
        <f t="shared" si="0"/>
        <v>1603.4999999999998</v>
      </c>
      <c r="AG46">
        <f t="shared" si="2"/>
        <v>346.9</v>
      </c>
      <c r="AH46">
        <f t="shared" si="3"/>
        <v>338.9</v>
      </c>
      <c r="AI46">
        <f t="shared" si="4"/>
        <v>220.2</v>
      </c>
      <c r="AJ46">
        <f t="shared" si="5"/>
        <v>111.4</v>
      </c>
      <c r="AK46">
        <f t="shared" si="6"/>
        <v>110.6</v>
      </c>
      <c r="AL46">
        <f t="shared" si="7"/>
        <v>112</v>
      </c>
    </row>
    <row r="47" spans="1:38" x14ac:dyDescent="0.3">
      <c r="A47" t="s">
        <v>33</v>
      </c>
      <c r="B47">
        <v>2014</v>
      </c>
      <c r="C47" t="s">
        <v>46</v>
      </c>
      <c r="D47" t="str">
        <f t="shared" si="1"/>
        <v>2014 - April</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t="s">
        <v>43</v>
      </c>
      <c r="W47">
        <v>113.4</v>
      </c>
      <c r="X47">
        <v>113.7</v>
      </c>
      <c r="Y47">
        <v>111.8</v>
      </c>
      <c r="Z47">
        <v>111.2</v>
      </c>
      <c r="AA47">
        <v>110.5</v>
      </c>
      <c r="AB47">
        <v>113</v>
      </c>
      <c r="AC47">
        <v>108.9</v>
      </c>
      <c r="AD47">
        <v>111.5</v>
      </c>
      <c r="AE47">
        <v>115.4</v>
      </c>
      <c r="AF47">
        <f t="shared" si="0"/>
        <v>1619.5000000000002</v>
      </c>
      <c r="AG47">
        <f t="shared" si="2"/>
        <v>352</v>
      </c>
      <c r="AH47">
        <f t="shared" si="3"/>
        <v>227.10000000000002</v>
      </c>
      <c r="AI47">
        <f t="shared" si="4"/>
        <v>220.7</v>
      </c>
      <c r="AJ47">
        <f t="shared" si="5"/>
        <v>111.2</v>
      </c>
      <c r="AK47">
        <f t="shared" si="6"/>
        <v>110.5</v>
      </c>
      <c r="AL47">
        <f t="shared" si="7"/>
        <v>113</v>
      </c>
    </row>
    <row r="48" spans="1:38" x14ac:dyDescent="0.3">
      <c r="A48" t="s">
        <v>36</v>
      </c>
      <c r="B48">
        <v>2014</v>
      </c>
      <c r="C48" t="s">
        <v>46</v>
      </c>
      <c r="D48" t="str">
        <f t="shared" si="1"/>
        <v>2014 - April</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c r="AF48">
        <f t="shared" si="0"/>
        <v>1621.6000000000001</v>
      </c>
      <c r="AG48">
        <f t="shared" si="2"/>
        <v>344.5</v>
      </c>
      <c r="AH48">
        <f t="shared" si="3"/>
        <v>338.20000000000005</v>
      </c>
      <c r="AI48">
        <f t="shared" si="4"/>
        <v>220.1</v>
      </c>
      <c r="AJ48">
        <f t="shared" si="5"/>
        <v>111.2</v>
      </c>
      <c r="AK48">
        <f t="shared" si="6"/>
        <v>111.2</v>
      </c>
      <c r="AL48">
        <f t="shared" si="7"/>
        <v>112.5</v>
      </c>
    </row>
    <row r="49" spans="1:38" x14ac:dyDescent="0.3">
      <c r="A49" t="s">
        <v>37</v>
      </c>
      <c r="B49">
        <v>2014</v>
      </c>
      <c r="C49" t="s">
        <v>46</v>
      </c>
      <c r="D49" t="str">
        <f t="shared" si="1"/>
        <v>2014 - April</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c r="AF49">
        <f t="shared" si="0"/>
        <v>1620.1</v>
      </c>
      <c r="AG49">
        <f t="shared" si="2"/>
        <v>349</v>
      </c>
      <c r="AH49">
        <f t="shared" si="3"/>
        <v>340</v>
      </c>
      <c r="AI49">
        <f t="shared" si="4"/>
        <v>220.5</v>
      </c>
      <c r="AJ49">
        <f t="shared" si="5"/>
        <v>111.2</v>
      </c>
      <c r="AK49">
        <f t="shared" si="6"/>
        <v>110.9</v>
      </c>
      <c r="AL49">
        <f t="shared" si="7"/>
        <v>112.7</v>
      </c>
    </row>
    <row r="50" spans="1:38" x14ac:dyDescent="0.3">
      <c r="A50" t="s">
        <v>33</v>
      </c>
      <c r="B50">
        <v>2014</v>
      </c>
      <c r="C50" t="s">
        <v>34</v>
      </c>
      <c r="D50" t="str">
        <f t="shared" si="1"/>
        <v>2014 - May</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t="s">
        <v>43</v>
      </c>
      <c r="W50">
        <v>113.4</v>
      </c>
      <c r="X50">
        <v>114.1</v>
      </c>
      <c r="Y50">
        <v>112.1</v>
      </c>
      <c r="Z50">
        <v>111.4</v>
      </c>
      <c r="AA50">
        <v>110.9</v>
      </c>
      <c r="AB50">
        <v>113.1</v>
      </c>
      <c r="AC50">
        <v>108.9</v>
      </c>
      <c r="AD50">
        <v>111.8</v>
      </c>
      <c r="AE50">
        <v>116</v>
      </c>
      <c r="AF50">
        <f t="shared" si="0"/>
        <v>1630.1999999999998</v>
      </c>
      <c r="AG50">
        <f t="shared" si="2"/>
        <v>354</v>
      </c>
      <c r="AH50">
        <f t="shared" si="3"/>
        <v>227.5</v>
      </c>
      <c r="AI50">
        <f t="shared" si="4"/>
        <v>221</v>
      </c>
      <c r="AJ50">
        <f t="shared" si="5"/>
        <v>111.4</v>
      </c>
      <c r="AK50">
        <f t="shared" si="6"/>
        <v>110.9</v>
      </c>
      <c r="AL50">
        <f t="shared" si="7"/>
        <v>113.1</v>
      </c>
    </row>
    <row r="51" spans="1:38" x14ac:dyDescent="0.3">
      <c r="A51" t="s">
        <v>36</v>
      </c>
      <c r="B51">
        <v>2014</v>
      </c>
      <c r="C51" t="s">
        <v>34</v>
      </c>
      <c r="D51" t="str">
        <f t="shared" si="1"/>
        <v>2014 - May</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c r="AF51">
        <f t="shared" si="0"/>
        <v>1643.6000000000001</v>
      </c>
      <c r="AG51">
        <f t="shared" si="2"/>
        <v>345.9</v>
      </c>
      <c r="AH51">
        <f t="shared" si="3"/>
        <v>339.5</v>
      </c>
      <c r="AI51">
        <f t="shared" si="4"/>
        <v>220.5</v>
      </c>
      <c r="AJ51">
        <f t="shared" si="5"/>
        <v>111.3</v>
      </c>
      <c r="AK51">
        <f t="shared" si="6"/>
        <v>111.5</v>
      </c>
      <c r="AL51">
        <f t="shared" si="7"/>
        <v>112.9</v>
      </c>
    </row>
    <row r="52" spans="1:38" x14ac:dyDescent="0.3">
      <c r="A52" t="s">
        <v>37</v>
      </c>
      <c r="B52">
        <v>2014</v>
      </c>
      <c r="C52" t="s">
        <v>34</v>
      </c>
      <c r="D52" t="str">
        <f t="shared" si="1"/>
        <v>2014 - May</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c r="AF52">
        <f t="shared" si="0"/>
        <v>1635.3000000000004</v>
      </c>
      <c r="AG52">
        <f t="shared" si="2"/>
        <v>350.79999999999995</v>
      </c>
      <c r="AH52">
        <f t="shared" si="3"/>
        <v>340.9</v>
      </c>
      <c r="AI52">
        <f t="shared" si="4"/>
        <v>220.89999999999998</v>
      </c>
      <c r="AJ52">
        <f t="shared" si="5"/>
        <v>111.3</v>
      </c>
      <c r="AK52">
        <f t="shared" si="6"/>
        <v>111.2</v>
      </c>
      <c r="AL52">
        <f t="shared" si="7"/>
        <v>113</v>
      </c>
    </row>
    <row r="53" spans="1:38" x14ac:dyDescent="0.3">
      <c r="A53" t="s">
        <v>33</v>
      </c>
      <c r="B53">
        <v>2014</v>
      </c>
      <c r="C53" t="s">
        <v>47</v>
      </c>
      <c r="D53" t="str">
        <f t="shared" si="1"/>
        <v>2014 - June</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t="s">
        <v>43</v>
      </c>
      <c r="W53">
        <v>114.4</v>
      </c>
      <c r="X53">
        <v>114.9</v>
      </c>
      <c r="Y53">
        <v>112.8</v>
      </c>
      <c r="Z53">
        <v>112.2</v>
      </c>
      <c r="AA53">
        <v>111.4</v>
      </c>
      <c r="AB53">
        <v>114.3</v>
      </c>
      <c r="AC53">
        <v>108</v>
      </c>
      <c r="AD53">
        <v>112.3</v>
      </c>
      <c r="AE53">
        <v>117</v>
      </c>
      <c r="AF53">
        <f t="shared" si="0"/>
        <v>1642.9999999999998</v>
      </c>
      <c r="AG53">
        <f t="shared" si="2"/>
        <v>356.3</v>
      </c>
      <c r="AH53">
        <f t="shared" si="3"/>
        <v>229.3</v>
      </c>
      <c r="AI53">
        <f t="shared" si="4"/>
        <v>220.8</v>
      </c>
      <c r="AJ53">
        <f t="shared" si="5"/>
        <v>112.2</v>
      </c>
      <c r="AK53">
        <f t="shared" si="6"/>
        <v>111.4</v>
      </c>
      <c r="AL53">
        <f t="shared" si="7"/>
        <v>114.3</v>
      </c>
    </row>
    <row r="54" spans="1:38" x14ac:dyDescent="0.3">
      <c r="A54" t="s">
        <v>36</v>
      </c>
      <c r="B54">
        <v>2014</v>
      </c>
      <c r="C54" t="s">
        <v>47</v>
      </c>
      <c r="D54" t="str">
        <f t="shared" si="1"/>
        <v>2014 - June</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c r="AF54">
        <f t="shared" si="0"/>
        <v>1666</v>
      </c>
      <c r="AG54">
        <f t="shared" si="2"/>
        <v>347.3</v>
      </c>
      <c r="AH54">
        <f t="shared" si="3"/>
        <v>339.40000000000003</v>
      </c>
      <c r="AI54">
        <f t="shared" si="4"/>
        <v>220.10000000000002</v>
      </c>
      <c r="AJ54">
        <f t="shared" si="5"/>
        <v>111.5</v>
      </c>
      <c r="AK54">
        <f t="shared" si="6"/>
        <v>111.8</v>
      </c>
      <c r="AL54">
        <f t="shared" si="7"/>
        <v>115.1</v>
      </c>
    </row>
    <row r="55" spans="1:38" x14ac:dyDescent="0.3">
      <c r="A55" t="s">
        <v>37</v>
      </c>
      <c r="B55">
        <v>2014</v>
      </c>
      <c r="C55" t="s">
        <v>47</v>
      </c>
      <c r="D55" t="str">
        <f t="shared" si="1"/>
        <v>2014 - June</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c r="AF55">
        <f t="shared" si="0"/>
        <v>1651.5000000000002</v>
      </c>
      <c r="AG55">
        <f t="shared" si="2"/>
        <v>352.7</v>
      </c>
      <c r="AH55">
        <f t="shared" si="3"/>
        <v>341.70000000000005</v>
      </c>
      <c r="AI55">
        <f t="shared" si="4"/>
        <v>220.6</v>
      </c>
      <c r="AJ55">
        <f t="shared" si="5"/>
        <v>111.8</v>
      </c>
      <c r="AK55">
        <f t="shared" si="6"/>
        <v>111.6</v>
      </c>
      <c r="AL55">
        <f t="shared" si="7"/>
        <v>114.8</v>
      </c>
    </row>
    <row r="56" spans="1:38" x14ac:dyDescent="0.3">
      <c r="A56" t="s">
        <v>33</v>
      </c>
      <c r="B56">
        <v>2014</v>
      </c>
      <c r="C56" t="s">
        <v>48</v>
      </c>
      <c r="D56" t="str">
        <f t="shared" si="1"/>
        <v>2014 - July</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t="s">
        <v>43</v>
      </c>
      <c r="W56">
        <v>115.3</v>
      </c>
      <c r="X56">
        <v>115.4</v>
      </c>
      <c r="Y56">
        <v>113.4</v>
      </c>
      <c r="Z56">
        <v>113.2</v>
      </c>
      <c r="AA56">
        <v>111.8</v>
      </c>
      <c r="AB56">
        <v>115.5</v>
      </c>
      <c r="AC56">
        <v>108.8</v>
      </c>
      <c r="AD56">
        <v>113.1</v>
      </c>
      <c r="AE56">
        <v>119.5</v>
      </c>
      <c r="AF56">
        <f t="shared" si="0"/>
        <v>1681.2</v>
      </c>
      <c r="AG56">
        <f t="shared" si="2"/>
        <v>359.3</v>
      </c>
      <c r="AH56">
        <f t="shared" si="3"/>
        <v>230.7</v>
      </c>
      <c r="AI56">
        <f t="shared" si="4"/>
        <v>222.2</v>
      </c>
      <c r="AJ56">
        <f t="shared" si="5"/>
        <v>113.2</v>
      </c>
      <c r="AK56">
        <f t="shared" si="6"/>
        <v>111.8</v>
      </c>
      <c r="AL56">
        <f t="shared" si="7"/>
        <v>115.5</v>
      </c>
    </row>
    <row r="57" spans="1:38" x14ac:dyDescent="0.3">
      <c r="A57" t="s">
        <v>36</v>
      </c>
      <c r="B57">
        <v>2014</v>
      </c>
      <c r="C57" t="s">
        <v>48</v>
      </c>
      <c r="D57" t="str">
        <f t="shared" si="1"/>
        <v>2014 - July</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c r="AF57">
        <f t="shared" si="0"/>
        <v>1720.5</v>
      </c>
      <c r="AG57">
        <f t="shared" si="2"/>
        <v>349</v>
      </c>
      <c r="AH57">
        <f t="shared" si="3"/>
        <v>341.29999999999995</v>
      </c>
      <c r="AI57">
        <f t="shared" si="4"/>
        <v>221.2</v>
      </c>
      <c r="AJ57">
        <f t="shared" si="5"/>
        <v>113</v>
      </c>
      <c r="AK57">
        <f t="shared" si="6"/>
        <v>112.4</v>
      </c>
      <c r="AL57">
        <f t="shared" si="7"/>
        <v>117.8</v>
      </c>
    </row>
    <row r="58" spans="1:38" x14ac:dyDescent="0.3">
      <c r="A58" t="s">
        <v>37</v>
      </c>
      <c r="B58">
        <v>2014</v>
      </c>
      <c r="C58" t="s">
        <v>48</v>
      </c>
      <c r="D58" t="str">
        <f t="shared" si="1"/>
        <v>2014 - July</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c r="AF58">
        <f t="shared" si="0"/>
        <v>1695.1</v>
      </c>
      <c r="AG58">
        <f t="shared" si="2"/>
        <v>355</v>
      </c>
      <c r="AH58">
        <f t="shared" si="3"/>
        <v>343.9</v>
      </c>
      <c r="AI58">
        <f t="shared" si="4"/>
        <v>221.9</v>
      </c>
      <c r="AJ58">
        <f t="shared" si="5"/>
        <v>113.1</v>
      </c>
      <c r="AK58">
        <f t="shared" si="6"/>
        <v>112.1</v>
      </c>
      <c r="AL58">
        <f t="shared" si="7"/>
        <v>116.8</v>
      </c>
    </row>
    <row r="59" spans="1:38" x14ac:dyDescent="0.3">
      <c r="A59" t="s">
        <v>33</v>
      </c>
      <c r="B59">
        <v>2014</v>
      </c>
      <c r="C59" t="s">
        <v>49</v>
      </c>
      <c r="D59" t="str">
        <f t="shared" si="1"/>
        <v>2014 - August</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t="s">
        <v>43</v>
      </c>
      <c r="W59">
        <v>115.4</v>
      </c>
      <c r="X59">
        <v>115.9</v>
      </c>
      <c r="Y59">
        <v>114</v>
      </c>
      <c r="Z59">
        <v>113.2</v>
      </c>
      <c r="AA59">
        <v>112.2</v>
      </c>
      <c r="AB59">
        <v>116.2</v>
      </c>
      <c r="AC59">
        <v>109.4</v>
      </c>
      <c r="AD59">
        <v>113.5</v>
      </c>
      <c r="AE59">
        <v>120.7</v>
      </c>
      <c r="AF59">
        <f t="shared" si="0"/>
        <v>1701.0999999999997</v>
      </c>
      <c r="AG59">
        <f t="shared" si="2"/>
        <v>360.4</v>
      </c>
      <c r="AH59">
        <f t="shared" si="3"/>
        <v>231.3</v>
      </c>
      <c r="AI59">
        <f t="shared" si="4"/>
        <v>223.4</v>
      </c>
      <c r="AJ59">
        <f t="shared" si="5"/>
        <v>113.2</v>
      </c>
      <c r="AK59">
        <f t="shared" si="6"/>
        <v>112.2</v>
      </c>
      <c r="AL59">
        <f t="shared" si="7"/>
        <v>116.2</v>
      </c>
    </row>
    <row r="60" spans="1:38" x14ac:dyDescent="0.3">
      <c r="A60" t="s">
        <v>36</v>
      </c>
      <c r="B60">
        <v>2014</v>
      </c>
      <c r="C60" t="s">
        <v>49</v>
      </c>
      <c r="D60" t="str">
        <f t="shared" si="1"/>
        <v>2014 - August</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c r="AF60">
        <f t="shared" si="0"/>
        <v>1740</v>
      </c>
      <c r="AG60">
        <f t="shared" si="2"/>
        <v>350.6</v>
      </c>
      <c r="AH60">
        <f t="shared" si="3"/>
        <v>342.6</v>
      </c>
      <c r="AI60">
        <f t="shared" si="4"/>
        <v>222.7</v>
      </c>
      <c r="AJ60">
        <f t="shared" si="5"/>
        <v>112.5</v>
      </c>
      <c r="AK60">
        <f t="shared" si="6"/>
        <v>112.9</v>
      </c>
      <c r="AL60">
        <f t="shared" si="7"/>
        <v>119.2</v>
      </c>
    </row>
    <row r="61" spans="1:38" x14ac:dyDescent="0.3">
      <c r="A61" t="s">
        <v>37</v>
      </c>
      <c r="B61">
        <v>2014</v>
      </c>
      <c r="C61" t="s">
        <v>49</v>
      </c>
      <c r="D61" t="str">
        <f t="shared" si="1"/>
        <v>2014 - August</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c r="AF61">
        <f t="shared" si="0"/>
        <v>1714.3999999999999</v>
      </c>
      <c r="AG61">
        <f t="shared" si="2"/>
        <v>356.4</v>
      </c>
      <c r="AH61">
        <f t="shared" si="3"/>
        <v>345.1</v>
      </c>
      <c r="AI61">
        <f t="shared" si="4"/>
        <v>223.2</v>
      </c>
      <c r="AJ61">
        <f t="shared" si="5"/>
        <v>112.8</v>
      </c>
      <c r="AK61">
        <f t="shared" si="6"/>
        <v>112.6</v>
      </c>
      <c r="AL61">
        <f t="shared" si="7"/>
        <v>118</v>
      </c>
    </row>
    <row r="62" spans="1:38" x14ac:dyDescent="0.3">
      <c r="A62" t="s">
        <v>33</v>
      </c>
      <c r="B62">
        <v>2014</v>
      </c>
      <c r="C62" t="s">
        <v>50</v>
      </c>
      <c r="D62" t="str">
        <f t="shared" si="1"/>
        <v>2014 - September</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t="s">
        <v>43</v>
      </c>
      <c r="W62">
        <v>115.8</v>
      </c>
      <c r="X62">
        <v>116.7</v>
      </c>
      <c r="Y62">
        <v>114.5</v>
      </c>
      <c r="Z62">
        <v>112.8</v>
      </c>
      <c r="AA62">
        <v>112.6</v>
      </c>
      <c r="AB62">
        <v>116.6</v>
      </c>
      <c r="AC62">
        <v>109.1</v>
      </c>
      <c r="AD62">
        <v>113.7</v>
      </c>
      <c r="AE62">
        <v>120.9</v>
      </c>
      <c r="AF62">
        <f t="shared" si="0"/>
        <v>1702.7</v>
      </c>
      <c r="AG62">
        <f t="shared" si="2"/>
        <v>362.2</v>
      </c>
      <c r="AH62">
        <f t="shared" si="3"/>
        <v>232.5</v>
      </c>
      <c r="AI62">
        <f t="shared" si="4"/>
        <v>223.6</v>
      </c>
      <c r="AJ62">
        <f t="shared" si="5"/>
        <v>112.8</v>
      </c>
      <c r="AK62">
        <f t="shared" si="6"/>
        <v>112.6</v>
      </c>
      <c r="AL62">
        <f t="shared" si="7"/>
        <v>116.6</v>
      </c>
    </row>
    <row r="63" spans="1:38" x14ac:dyDescent="0.3">
      <c r="A63" t="s">
        <v>36</v>
      </c>
      <c r="B63">
        <v>2014</v>
      </c>
      <c r="C63" t="s">
        <v>50</v>
      </c>
      <c r="D63" t="str">
        <f t="shared" si="1"/>
        <v>2014 - September</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c r="AF63">
        <f t="shared" si="0"/>
        <v>1718.0000000000002</v>
      </c>
      <c r="AG63">
        <f t="shared" si="2"/>
        <v>352.1</v>
      </c>
      <c r="AH63">
        <f t="shared" si="3"/>
        <v>343.4</v>
      </c>
      <c r="AI63">
        <f t="shared" si="4"/>
        <v>222.3</v>
      </c>
      <c r="AJ63">
        <f t="shared" si="5"/>
        <v>111.2</v>
      </c>
      <c r="AK63">
        <f t="shared" si="6"/>
        <v>113.4</v>
      </c>
      <c r="AL63">
        <f t="shared" si="7"/>
        <v>120</v>
      </c>
    </row>
    <row r="64" spans="1:38" x14ac:dyDescent="0.3">
      <c r="A64" t="s">
        <v>37</v>
      </c>
      <c r="B64">
        <v>2014</v>
      </c>
      <c r="C64" t="s">
        <v>50</v>
      </c>
      <c r="D64" t="str">
        <f t="shared" si="1"/>
        <v>2014 - September</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c r="AF64">
        <f t="shared" si="0"/>
        <v>1706.8999999999996</v>
      </c>
      <c r="AG64">
        <f t="shared" si="2"/>
        <v>358</v>
      </c>
      <c r="AH64">
        <f t="shared" si="3"/>
        <v>346.5</v>
      </c>
      <c r="AI64">
        <f t="shared" si="4"/>
        <v>223.2</v>
      </c>
      <c r="AJ64">
        <f t="shared" si="5"/>
        <v>112</v>
      </c>
      <c r="AK64">
        <f t="shared" si="6"/>
        <v>113.1</v>
      </c>
      <c r="AL64">
        <f t="shared" si="7"/>
        <v>118.6</v>
      </c>
    </row>
    <row r="65" spans="1:38" x14ac:dyDescent="0.3">
      <c r="A65" t="s">
        <v>33</v>
      </c>
      <c r="B65">
        <v>2014</v>
      </c>
      <c r="C65" t="s">
        <v>51</v>
      </c>
      <c r="D65" t="str">
        <f t="shared" si="1"/>
        <v>2014 - October</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t="s">
        <v>43</v>
      </c>
      <c r="W65">
        <v>116.4</v>
      </c>
      <c r="X65">
        <v>117.5</v>
      </c>
      <c r="Y65">
        <v>115.3</v>
      </c>
      <c r="Z65">
        <v>112.6</v>
      </c>
      <c r="AA65">
        <v>113</v>
      </c>
      <c r="AB65">
        <v>116.9</v>
      </c>
      <c r="AC65">
        <v>109.3</v>
      </c>
      <c r="AD65">
        <v>114</v>
      </c>
      <c r="AE65">
        <v>121</v>
      </c>
      <c r="AF65">
        <f t="shared" si="0"/>
        <v>1701.1999999999998</v>
      </c>
      <c r="AG65">
        <f t="shared" si="2"/>
        <v>365.3</v>
      </c>
      <c r="AH65">
        <f t="shared" si="3"/>
        <v>233.9</v>
      </c>
      <c r="AI65">
        <f t="shared" si="4"/>
        <v>224.6</v>
      </c>
      <c r="AJ65">
        <f t="shared" si="5"/>
        <v>112.6</v>
      </c>
      <c r="AK65">
        <f t="shared" si="6"/>
        <v>113</v>
      </c>
      <c r="AL65">
        <f t="shared" si="7"/>
        <v>116.9</v>
      </c>
    </row>
    <row r="66" spans="1:38" x14ac:dyDescent="0.3">
      <c r="A66" t="s">
        <v>36</v>
      </c>
      <c r="B66">
        <v>2014</v>
      </c>
      <c r="C66" t="s">
        <v>51</v>
      </c>
      <c r="D66" t="str">
        <f t="shared" si="1"/>
        <v>2014 - October</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c r="AF66">
        <f t="shared" ref="AF66:AF129" si="8">SUM(E66:R66)</f>
        <v>1711.8</v>
      </c>
      <c r="AG66">
        <f t="shared" si="2"/>
        <v>353.4</v>
      </c>
      <c r="AH66">
        <f t="shared" si="3"/>
        <v>344.5</v>
      </c>
      <c r="AI66">
        <f t="shared" si="4"/>
        <v>222.7</v>
      </c>
      <c r="AJ66">
        <f t="shared" si="5"/>
        <v>111</v>
      </c>
      <c r="AK66">
        <f t="shared" si="6"/>
        <v>113.6</v>
      </c>
      <c r="AL66">
        <f t="shared" si="7"/>
        <v>120.2</v>
      </c>
    </row>
    <row r="67" spans="1:38" x14ac:dyDescent="0.3">
      <c r="A67" t="s">
        <v>37</v>
      </c>
      <c r="B67">
        <v>2014</v>
      </c>
      <c r="C67" t="s">
        <v>51</v>
      </c>
      <c r="D67" t="str">
        <f t="shared" ref="D67:D130" si="9">B67 &amp; " - " &amp; C67</f>
        <v>2014 - October</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c r="AF67">
        <f t="shared" si="8"/>
        <v>1703.8</v>
      </c>
      <c r="AG67">
        <f t="shared" ref="AG67:AG130" si="10">SUM(S67:U67)</f>
        <v>360.6</v>
      </c>
      <c r="AH67">
        <f t="shared" ref="AH67:AH130" si="11">SUM(V67:X67)</f>
        <v>348.1</v>
      </c>
      <c r="AI67">
        <f t="shared" ref="AI67:AI130" si="12">SUM(Y67,AC67)</f>
        <v>223.89999999999998</v>
      </c>
      <c r="AJ67">
        <f t="shared" ref="AJ67:AJ130" si="13">SUM(Z67)</f>
        <v>111.8</v>
      </c>
      <c r="AK67">
        <f t="shared" ref="AK67:AK130" si="14">SUM(AA67)</f>
        <v>113.3</v>
      </c>
      <c r="AL67">
        <f t="shared" ref="AL67:AL130" si="15">SUM(AB67)</f>
        <v>118.8</v>
      </c>
    </row>
    <row r="68" spans="1:38" x14ac:dyDescent="0.3">
      <c r="A68" t="s">
        <v>33</v>
      </c>
      <c r="B68">
        <v>2014</v>
      </c>
      <c r="C68" t="s">
        <v>53</v>
      </c>
      <c r="D68" t="str">
        <f t="shared" si="9"/>
        <v>2014 - November</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t="s">
        <v>43</v>
      </c>
      <c r="W68">
        <v>117.3</v>
      </c>
      <c r="X68">
        <v>118.1</v>
      </c>
      <c r="Y68">
        <v>115.9</v>
      </c>
      <c r="Z68">
        <v>112</v>
      </c>
      <c r="AA68">
        <v>113.3</v>
      </c>
      <c r="AB68">
        <v>117.2</v>
      </c>
      <c r="AC68">
        <v>108.8</v>
      </c>
      <c r="AD68">
        <v>114.1</v>
      </c>
      <c r="AE68">
        <v>121.1</v>
      </c>
      <c r="AF68">
        <f t="shared" si="8"/>
        <v>1702.8</v>
      </c>
      <c r="AG68">
        <f t="shared" si="10"/>
        <v>366.70000000000005</v>
      </c>
      <c r="AH68">
        <f t="shared" si="11"/>
        <v>235.39999999999998</v>
      </c>
      <c r="AI68">
        <f t="shared" si="12"/>
        <v>224.7</v>
      </c>
      <c r="AJ68">
        <f t="shared" si="13"/>
        <v>112</v>
      </c>
      <c r="AK68">
        <f t="shared" si="14"/>
        <v>113.3</v>
      </c>
      <c r="AL68">
        <f t="shared" si="15"/>
        <v>117.2</v>
      </c>
    </row>
    <row r="69" spans="1:38" x14ac:dyDescent="0.3">
      <c r="A69" t="s">
        <v>36</v>
      </c>
      <c r="B69">
        <v>2014</v>
      </c>
      <c r="C69" t="s">
        <v>53</v>
      </c>
      <c r="D69" t="str">
        <f t="shared" si="9"/>
        <v>2014 - November</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c r="AF69">
        <f t="shared" si="8"/>
        <v>1713.6</v>
      </c>
      <c r="AG69">
        <f t="shared" si="10"/>
        <v>355.2</v>
      </c>
      <c r="AH69">
        <f t="shared" si="11"/>
        <v>346.1</v>
      </c>
      <c r="AI69">
        <f t="shared" si="12"/>
        <v>222.6</v>
      </c>
      <c r="AJ69">
        <f t="shared" si="13"/>
        <v>109.7</v>
      </c>
      <c r="AK69">
        <f t="shared" si="14"/>
        <v>114</v>
      </c>
      <c r="AL69">
        <f t="shared" si="15"/>
        <v>120.3</v>
      </c>
    </row>
    <row r="70" spans="1:38" x14ac:dyDescent="0.3">
      <c r="A70" t="s">
        <v>37</v>
      </c>
      <c r="B70">
        <v>2014</v>
      </c>
      <c r="C70" t="s">
        <v>53</v>
      </c>
      <c r="D70" t="str">
        <f t="shared" si="9"/>
        <v>2014 - November</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c r="AF70">
        <f t="shared" si="8"/>
        <v>1705.3</v>
      </c>
      <c r="AG70">
        <f t="shared" si="10"/>
        <v>362.1</v>
      </c>
      <c r="AH70">
        <f t="shared" si="11"/>
        <v>349.9</v>
      </c>
      <c r="AI70">
        <f t="shared" si="12"/>
        <v>223.89999999999998</v>
      </c>
      <c r="AJ70">
        <f t="shared" si="13"/>
        <v>110.8</v>
      </c>
      <c r="AK70">
        <f t="shared" si="14"/>
        <v>113.7</v>
      </c>
      <c r="AL70">
        <f t="shared" si="15"/>
        <v>119</v>
      </c>
    </row>
    <row r="71" spans="1:38" x14ac:dyDescent="0.3">
      <c r="A71" t="s">
        <v>33</v>
      </c>
      <c r="B71">
        <v>2014</v>
      </c>
      <c r="C71" t="s">
        <v>54</v>
      </c>
      <c r="D71" t="str">
        <f t="shared" si="9"/>
        <v>2014 - December</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t="s">
        <v>43</v>
      </c>
      <c r="W71">
        <v>117.4</v>
      </c>
      <c r="X71">
        <v>118.2</v>
      </c>
      <c r="Y71">
        <v>116.2</v>
      </c>
      <c r="Z71">
        <v>111.5</v>
      </c>
      <c r="AA71">
        <v>113.3</v>
      </c>
      <c r="AB71">
        <v>117.7</v>
      </c>
      <c r="AC71">
        <v>109.4</v>
      </c>
      <c r="AD71">
        <v>114.2</v>
      </c>
      <c r="AE71">
        <v>120.3</v>
      </c>
      <c r="AF71">
        <f t="shared" si="8"/>
        <v>1691.3</v>
      </c>
      <c r="AG71">
        <f t="shared" si="10"/>
        <v>367.7</v>
      </c>
      <c r="AH71">
        <f t="shared" si="11"/>
        <v>235.60000000000002</v>
      </c>
      <c r="AI71">
        <f t="shared" si="12"/>
        <v>225.60000000000002</v>
      </c>
      <c r="AJ71">
        <f t="shared" si="13"/>
        <v>111.5</v>
      </c>
      <c r="AK71">
        <f t="shared" si="14"/>
        <v>113.3</v>
      </c>
      <c r="AL71">
        <f t="shared" si="15"/>
        <v>117.7</v>
      </c>
    </row>
    <row r="72" spans="1:38" x14ac:dyDescent="0.3">
      <c r="A72" t="s">
        <v>36</v>
      </c>
      <c r="B72">
        <v>2014</v>
      </c>
      <c r="C72" t="s">
        <v>54</v>
      </c>
      <c r="D72" t="str">
        <f t="shared" si="9"/>
        <v>2014 - December</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c r="AF72">
        <f t="shared" si="8"/>
        <v>1703.6</v>
      </c>
      <c r="AG72">
        <f t="shared" si="10"/>
        <v>356.5</v>
      </c>
      <c r="AH72">
        <f t="shared" si="11"/>
        <v>346.3</v>
      </c>
      <c r="AI72">
        <f t="shared" si="12"/>
        <v>223.60000000000002</v>
      </c>
      <c r="AJ72">
        <f t="shared" si="13"/>
        <v>108.8</v>
      </c>
      <c r="AK72">
        <f t="shared" si="14"/>
        <v>114.3</v>
      </c>
      <c r="AL72">
        <f t="shared" si="15"/>
        <v>120.7</v>
      </c>
    </row>
    <row r="73" spans="1:38" x14ac:dyDescent="0.3">
      <c r="A73" t="s">
        <v>37</v>
      </c>
      <c r="B73">
        <v>2014</v>
      </c>
      <c r="C73" t="s">
        <v>54</v>
      </c>
      <c r="D73" t="str">
        <f t="shared" si="9"/>
        <v>2014 - December</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c r="AF73">
        <f t="shared" si="8"/>
        <v>1694.6999999999998</v>
      </c>
      <c r="AG73">
        <f t="shared" si="10"/>
        <v>363.2</v>
      </c>
      <c r="AH73">
        <f t="shared" si="11"/>
        <v>349.7</v>
      </c>
      <c r="AI73">
        <f t="shared" si="12"/>
        <v>224.89999999999998</v>
      </c>
      <c r="AJ73">
        <f t="shared" si="13"/>
        <v>110.1</v>
      </c>
      <c r="AK73">
        <f t="shared" si="14"/>
        <v>113.9</v>
      </c>
      <c r="AL73">
        <f t="shared" si="15"/>
        <v>119.5</v>
      </c>
    </row>
    <row r="74" spans="1:38" x14ac:dyDescent="0.3">
      <c r="A74" t="s">
        <v>33</v>
      </c>
      <c r="B74">
        <v>2015</v>
      </c>
      <c r="C74" t="s">
        <v>42</v>
      </c>
      <c r="D74" t="str">
        <f t="shared" si="9"/>
        <v>2015 - January</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t="s">
        <v>43</v>
      </c>
      <c r="W74">
        <v>118.4</v>
      </c>
      <c r="X74">
        <v>118.9</v>
      </c>
      <c r="Y74">
        <v>116.6</v>
      </c>
      <c r="Z74">
        <v>111</v>
      </c>
      <c r="AA74">
        <v>114</v>
      </c>
      <c r="AB74">
        <v>118.2</v>
      </c>
      <c r="AC74">
        <v>110.2</v>
      </c>
      <c r="AD74">
        <v>114.5</v>
      </c>
      <c r="AE74">
        <v>120.3</v>
      </c>
      <c r="AF74">
        <f t="shared" si="8"/>
        <v>1690.8</v>
      </c>
      <c r="AG74">
        <f t="shared" si="10"/>
        <v>370</v>
      </c>
      <c r="AH74">
        <f t="shared" si="11"/>
        <v>237.3</v>
      </c>
      <c r="AI74">
        <f t="shared" si="12"/>
        <v>226.8</v>
      </c>
      <c r="AJ74">
        <f t="shared" si="13"/>
        <v>111</v>
      </c>
      <c r="AK74">
        <f t="shared" si="14"/>
        <v>114</v>
      </c>
      <c r="AL74">
        <f t="shared" si="15"/>
        <v>118.2</v>
      </c>
    </row>
    <row r="75" spans="1:38" x14ac:dyDescent="0.3">
      <c r="A75" t="s">
        <v>36</v>
      </c>
      <c r="B75">
        <v>2015</v>
      </c>
      <c r="C75" t="s">
        <v>42</v>
      </c>
      <c r="D75" t="str">
        <f t="shared" si="9"/>
        <v>2015 - January</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c r="AF75">
        <f t="shared" si="8"/>
        <v>1702.3</v>
      </c>
      <c r="AG75">
        <f t="shared" si="10"/>
        <v>357.3</v>
      </c>
      <c r="AH75">
        <f t="shared" si="11"/>
        <v>347.9</v>
      </c>
      <c r="AI75">
        <f t="shared" si="12"/>
        <v>225.10000000000002</v>
      </c>
      <c r="AJ75">
        <f t="shared" si="13"/>
        <v>107.9</v>
      </c>
      <c r="AK75">
        <f t="shared" si="14"/>
        <v>114.6</v>
      </c>
      <c r="AL75">
        <f t="shared" si="15"/>
        <v>120.8</v>
      </c>
    </row>
    <row r="76" spans="1:38" x14ac:dyDescent="0.3">
      <c r="A76" t="s">
        <v>37</v>
      </c>
      <c r="B76">
        <v>2015</v>
      </c>
      <c r="C76" t="s">
        <v>42</v>
      </c>
      <c r="D76" t="str">
        <f t="shared" si="9"/>
        <v>2015 - January</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c r="AF76">
        <f t="shared" si="8"/>
        <v>1693.3</v>
      </c>
      <c r="AG76">
        <f t="shared" si="10"/>
        <v>364.9</v>
      </c>
      <c r="AH76">
        <f t="shared" si="11"/>
        <v>351.9</v>
      </c>
      <c r="AI76">
        <f t="shared" si="12"/>
        <v>226.2</v>
      </c>
      <c r="AJ76">
        <f t="shared" si="13"/>
        <v>109.4</v>
      </c>
      <c r="AK76">
        <f t="shared" si="14"/>
        <v>114.3</v>
      </c>
      <c r="AL76">
        <f t="shared" si="15"/>
        <v>119.7</v>
      </c>
    </row>
    <row r="77" spans="1:38" x14ac:dyDescent="0.3">
      <c r="A77" t="s">
        <v>33</v>
      </c>
      <c r="B77">
        <v>2015</v>
      </c>
      <c r="C77" t="s">
        <v>44</v>
      </c>
      <c r="D77" t="str">
        <f t="shared" si="9"/>
        <v>2015 - February</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t="s">
        <v>43</v>
      </c>
      <c r="W77">
        <v>120</v>
      </c>
      <c r="X77">
        <v>119.6</v>
      </c>
      <c r="Y77">
        <v>117.7</v>
      </c>
      <c r="Z77">
        <v>110.9</v>
      </c>
      <c r="AA77">
        <v>114.8</v>
      </c>
      <c r="AB77">
        <v>118.7</v>
      </c>
      <c r="AC77">
        <v>110.8</v>
      </c>
      <c r="AD77">
        <v>115</v>
      </c>
      <c r="AE77">
        <v>120.6</v>
      </c>
      <c r="AF77">
        <f t="shared" si="8"/>
        <v>1694.7999999999997</v>
      </c>
      <c r="AG77">
        <f t="shared" si="10"/>
        <v>373.1</v>
      </c>
      <c r="AH77">
        <f t="shared" si="11"/>
        <v>239.6</v>
      </c>
      <c r="AI77">
        <f t="shared" si="12"/>
        <v>228.5</v>
      </c>
      <c r="AJ77">
        <f t="shared" si="13"/>
        <v>110.9</v>
      </c>
      <c r="AK77">
        <f t="shared" si="14"/>
        <v>114.8</v>
      </c>
      <c r="AL77">
        <f t="shared" si="15"/>
        <v>118.7</v>
      </c>
    </row>
    <row r="78" spans="1:38" x14ac:dyDescent="0.3">
      <c r="A78" t="s">
        <v>36</v>
      </c>
      <c r="B78">
        <v>2015</v>
      </c>
      <c r="C78" t="s">
        <v>44</v>
      </c>
      <c r="D78" t="str">
        <f t="shared" si="9"/>
        <v>2015 - February</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c r="AF78">
        <f t="shared" si="8"/>
        <v>1699.2</v>
      </c>
      <c r="AG78">
        <f t="shared" si="10"/>
        <v>358.4</v>
      </c>
      <c r="AH78">
        <f t="shared" si="11"/>
        <v>349.8</v>
      </c>
      <c r="AI78">
        <f t="shared" si="12"/>
        <v>225.8</v>
      </c>
      <c r="AJ78">
        <f t="shared" si="13"/>
        <v>106.8</v>
      </c>
      <c r="AK78">
        <f t="shared" si="14"/>
        <v>114.9</v>
      </c>
      <c r="AL78">
        <f t="shared" si="15"/>
        <v>120.4</v>
      </c>
    </row>
    <row r="79" spans="1:38" x14ac:dyDescent="0.3">
      <c r="A79" t="s">
        <v>37</v>
      </c>
      <c r="B79">
        <v>2015</v>
      </c>
      <c r="C79" t="s">
        <v>44</v>
      </c>
      <c r="D79" t="str">
        <f t="shared" si="9"/>
        <v>2015 - February</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c r="AF79">
        <f t="shared" si="8"/>
        <v>1694.5999999999997</v>
      </c>
      <c r="AG79">
        <f t="shared" si="10"/>
        <v>367.2</v>
      </c>
      <c r="AH79">
        <f t="shared" si="11"/>
        <v>354.5</v>
      </c>
      <c r="AI79">
        <f t="shared" si="12"/>
        <v>227.5</v>
      </c>
      <c r="AJ79">
        <f t="shared" si="13"/>
        <v>108.7</v>
      </c>
      <c r="AK79">
        <f t="shared" si="14"/>
        <v>114.9</v>
      </c>
      <c r="AL79">
        <f t="shared" si="15"/>
        <v>119.7</v>
      </c>
    </row>
    <row r="80" spans="1:38" x14ac:dyDescent="0.3">
      <c r="A80" t="s">
        <v>33</v>
      </c>
      <c r="B80">
        <v>2015</v>
      </c>
      <c r="C80" t="s">
        <v>45</v>
      </c>
      <c r="D80" t="str">
        <f t="shared" si="9"/>
        <v>2015 - March</v>
      </c>
      <c r="E80">
        <v>123.3</v>
      </c>
      <c r="F80">
        <v>124.7</v>
      </c>
      <c r="G80">
        <v>118.9</v>
      </c>
      <c r="H80">
        <v>126</v>
      </c>
      <c r="I80">
        <v>111.8</v>
      </c>
      <c r="J80">
        <v>130.9</v>
      </c>
      <c r="K80">
        <v>128</v>
      </c>
      <c r="L80">
        <v>119.9</v>
      </c>
      <c r="M80">
        <v>98.9</v>
      </c>
      <c r="N80">
        <v>119.4</v>
      </c>
      <c r="O80">
        <v>118.9</v>
      </c>
      <c r="P80">
        <v>127.7</v>
      </c>
      <c r="Q80">
        <v>123.1</v>
      </c>
      <c r="R80">
        <v>124.7</v>
      </c>
      <c r="S80">
        <v>126</v>
      </c>
      <c r="T80">
        <v>122.9</v>
      </c>
      <c r="U80">
        <v>125.5</v>
      </c>
      <c r="V80" t="s">
        <v>43</v>
      </c>
      <c r="W80">
        <v>120.6</v>
      </c>
      <c r="X80">
        <v>120.2</v>
      </c>
      <c r="Y80">
        <v>118.2</v>
      </c>
      <c r="Z80">
        <v>111.6</v>
      </c>
      <c r="AA80">
        <v>115.5</v>
      </c>
      <c r="AB80">
        <v>119.4</v>
      </c>
      <c r="AC80">
        <v>110.8</v>
      </c>
      <c r="AD80">
        <v>115.5</v>
      </c>
      <c r="AE80">
        <v>121.1</v>
      </c>
      <c r="AF80">
        <f t="shared" si="8"/>
        <v>1696.2</v>
      </c>
      <c r="AG80">
        <f t="shared" si="10"/>
        <v>374.4</v>
      </c>
      <c r="AH80">
        <f t="shared" si="11"/>
        <v>240.8</v>
      </c>
      <c r="AI80">
        <f t="shared" si="12"/>
        <v>229</v>
      </c>
      <c r="AJ80">
        <f t="shared" si="13"/>
        <v>111.6</v>
      </c>
      <c r="AK80">
        <f t="shared" si="14"/>
        <v>115.5</v>
      </c>
      <c r="AL80">
        <f t="shared" si="15"/>
        <v>119.4</v>
      </c>
    </row>
    <row r="81" spans="1:38" x14ac:dyDescent="0.3">
      <c r="A81" t="s">
        <v>36</v>
      </c>
      <c r="B81">
        <v>2015</v>
      </c>
      <c r="C81" t="s">
        <v>45</v>
      </c>
      <c r="D81" t="str">
        <f t="shared" si="9"/>
        <v>2015 - March</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c r="AF81">
        <f t="shared" si="8"/>
        <v>1696.8000000000002</v>
      </c>
      <c r="AG81">
        <f t="shared" si="10"/>
        <v>359.5</v>
      </c>
      <c r="AH81">
        <f t="shared" si="11"/>
        <v>351</v>
      </c>
      <c r="AI81">
        <f t="shared" si="12"/>
        <v>225.6</v>
      </c>
      <c r="AJ81">
        <f t="shared" si="13"/>
        <v>108.4</v>
      </c>
      <c r="AK81">
        <f t="shared" si="14"/>
        <v>115.4</v>
      </c>
      <c r="AL81">
        <f t="shared" si="15"/>
        <v>120.6</v>
      </c>
    </row>
    <row r="82" spans="1:38" x14ac:dyDescent="0.3">
      <c r="A82" t="s">
        <v>37</v>
      </c>
      <c r="B82">
        <v>2015</v>
      </c>
      <c r="C82" t="s">
        <v>45</v>
      </c>
      <c r="D82" t="str">
        <f t="shared" si="9"/>
        <v>2015 - March</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c r="AF82">
        <f t="shared" si="8"/>
        <v>1694.8999999999999</v>
      </c>
      <c r="AG82">
        <f t="shared" si="10"/>
        <v>368.4</v>
      </c>
      <c r="AH82">
        <f t="shared" si="11"/>
        <v>356.09999999999997</v>
      </c>
      <c r="AI82">
        <f t="shared" si="12"/>
        <v>227.7</v>
      </c>
      <c r="AJ82">
        <f t="shared" si="13"/>
        <v>109.9</v>
      </c>
      <c r="AK82">
        <f t="shared" si="14"/>
        <v>115.4</v>
      </c>
      <c r="AL82">
        <f t="shared" si="15"/>
        <v>120.1</v>
      </c>
    </row>
    <row r="83" spans="1:38" x14ac:dyDescent="0.3">
      <c r="A83" t="s">
        <v>33</v>
      </c>
      <c r="B83">
        <v>2015</v>
      </c>
      <c r="C83" t="s">
        <v>46</v>
      </c>
      <c r="D83" t="str">
        <f t="shared" si="9"/>
        <v>2015 - April</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t="s">
        <v>43</v>
      </c>
      <c r="W83">
        <v>121.2</v>
      </c>
      <c r="X83">
        <v>120.9</v>
      </c>
      <c r="Y83">
        <v>118.6</v>
      </c>
      <c r="Z83">
        <v>111.9</v>
      </c>
      <c r="AA83">
        <v>116.2</v>
      </c>
      <c r="AB83">
        <v>119.9</v>
      </c>
      <c r="AC83">
        <v>111.6</v>
      </c>
      <c r="AD83">
        <v>116</v>
      </c>
      <c r="AE83">
        <v>121.5</v>
      </c>
      <c r="AF83">
        <f t="shared" si="8"/>
        <v>1702.9</v>
      </c>
      <c r="AG83">
        <f t="shared" si="10"/>
        <v>375.7</v>
      </c>
      <c r="AH83">
        <f t="shared" si="11"/>
        <v>242.10000000000002</v>
      </c>
      <c r="AI83">
        <f t="shared" si="12"/>
        <v>230.2</v>
      </c>
      <c r="AJ83">
        <f t="shared" si="13"/>
        <v>111.9</v>
      </c>
      <c r="AK83">
        <f t="shared" si="14"/>
        <v>116.2</v>
      </c>
      <c r="AL83">
        <f t="shared" si="15"/>
        <v>119.9</v>
      </c>
    </row>
    <row r="84" spans="1:38" x14ac:dyDescent="0.3">
      <c r="A84" t="s">
        <v>36</v>
      </c>
      <c r="B84">
        <v>2015</v>
      </c>
      <c r="C84" t="s">
        <v>46</v>
      </c>
      <c r="D84" t="str">
        <f t="shared" si="9"/>
        <v>2015 - April</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c r="AF84">
        <f t="shared" si="8"/>
        <v>1706.1999999999998</v>
      </c>
      <c r="AG84">
        <f t="shared" si="10"/>
        <v>360.6</v>
      </c>
      <c r="AH84">
        <f t="shared" si="11"/>
        <v>352.3</v>
      </c>
      <c r="AI84">
        <f t="shared" si="12"/>
        <v>226.39999999999998</v>
      </c>
      <c r="AJ84">
        <f t="shared" si="13"/>
        <v>108.4</v>
      </c>
      <c r="AK84">
        <f t="shared" si="14"/>
        <v>115.6</v>
      </c>
      <c r="AL84">
        <f t="shared" si="15"/>
        <v>121.7</v>
      </c>
    </row>
    <row r="85" spans="1:38" x14ac:dyDescent="0.3">
      <c r="A85" t="s">
        <v>37</v>
      </c>
      <c r="B85">
        <v>2015</v>
      </c>
      <c r="C85" t="s">
        <v>46</v>
      </c>
      <c r="D85" t="str">
        <f t="shared" si="9"/>
        <v>2015 - April</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c r="AF85">
        <f t="shared" si="8"/>
        <v>1702.6000000000001</v>
      </c>
      <c r="AG85">
        <f t="shared" si="10"/>
        <v>369.6</v>
      </c>
      <c r="AH85">
        <f t="shared" si="11"/>
        <v>357.6</v>
      </c>
      <c r="AI85">
        <f t="shared" si="12"/>
        <v>228.8</v>
      </c>
      <c r="AJ85">
        <f t="shared" si="13"/>
        <v>110.1</v>
      </c>
      <c r="AK85">
        <f t="shared" si="14"/>
        <v>115.9</v>
      </c>
      <c r="AL85">
        <f t="shared" si="15"/>
        <v>121</v>
      </c>
    </row>
    <row r="86" spans="1:38" x14ac:dyDescent="0.3">
      <c r="A86" t="s">
        <v>33</v>
      </c>
      <c r="B86">
        <v>2015</v>
      </c>
      <c r="C86" t="s">
        <v>34</v>
      </c>
      <c r="D86" t="str">
        <f t="shared" si="9"/>
        <v>2015 - May</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t="s">
        <v>43</v>
      </c>
      <c r="W86">
        <v>121.9</v>
      </c>
      <c r="X86">
        <v>121.5</v>
      </c>
      <c r="Y86">
        <v>119.4</v>
      </c>
      <c r="Z86">
        <v>113.3</v>
      </c>
      <c r="AA86">
        <v>116.7</v>
      </c>
      <c r="AB86">
        <v>120.5</v>
      </c>
      <c r="AC86">
        <v>112.3</v>
      </c>
      <c r="AD86">
        <v>116.9</v>
      </c>
      <c r="AE86">
        <v>122.4</v>
      </c>
      <c r="AF86">
        <f t="shared" si="8"/>
        <v>1714.4</v>
      </c>
      <c r="AG86">
        <f t="shared" si="10"/>
        <v>378.2</v>
      </c>
      <c r="AH86">
        <f t="shared" si="11"/>
        <v>243.4</v>
      </c>
      <c r="AI86">
        <f t="shared" si="12"/>
        <v>231.7</v>
      </c>
      <c r="AJ86">
        <f t="shared" si="13"/>
        <v>113.3</v>
      </c>
      <c r="AK86">
        <f t="shared" si="14"/>
        <v>116.7</v>
      </c>
      <c r="AL86">
        <f t="shared" si="15"/>
        <v>120.5</v>
      </c>
    </row>
    <row r="87" spans="1:38" x14ac:dyDescent="0.3">
      <c r="A87" t="s">
        <v>36</v>
      </c>
      <c r="B87">
        <v>2015</v>
      </c>
      <c r="C87" t="s">
        <v>34</v>
      </c>
      <c r="D87" t="str">
        <f t="shared" si="9"/>
        <v>2015 - May</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c r="AF87">
        <f t="shared" si="8"/>
        <v>1730.2</v>
      </c>
      <c r="AG87">
        <f t="shared" si="10"/>
        <v>361.4</v>
      </c>
      <c r="AH87">
        <f t="shared" si="11"/>
        <v>353.2</v>
      </c>
      <c r="AI87">
        <f t="shared" si="12"/>
        <v>227.3</v>
      </c>
      <c r="AJ87">
        <f t="shared" si="13"/>
        <v>110.8</v>
      </c>
      <c r="AK87">
        <f t="shared" si="14"/>
        <v>116</v>
      </c>
      <c r="AL87">
        <f t="shared" si="15"/>
        <v>122</v>
      </c>
    </row>
    <row r="88" spans="1:38" x14ac:dyDescent="0.3">
      <c r="A88" t="s">
        <v>37</v>
      </c>
      <c r="B88">
        <v>2015</v>
      </c>
      <c r="C88" t="s">
        <v>34</v>
      </c>
      <c r="D88" t="str">
        <f t="shared" si="9"/>
        <v>2015 - May</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c r="AF88">
        <f t="shared" si="8"/>
        <v>1718.3000000000002</v>
      </c>
      <c r="AG88">
        <f t="shared" si="10"/>
        <v>371.4</v>
      </c>
      <c r="AH88">
        <f t="shared" si="11"/>
        <v>359</v>
      </c>
      <c r="AI88">
        <f t="shared" si="12"/>
        <v>230</v>
      </c>
      <c r="AJ88">
        <f t="shared" si="13"/>
        <v>112</v>
      </c>
      <c r="AK88">
        <f t="shared" si="14"/>
        <v>116.3</v>
      </c>
      <c r="AL88">
        <f t="shared" si="15"/>
        <v>121.4</v>
      </c>
    </row>
    <row r="89" spans="1:38" x14ac:dyDescent="0.3">
      <c r="A89" t="s">
        <v>33</v>
      </c>
      <c r="B89">
        <v>2015</v>
      </c>
      <c r="C89" t="s">
        <v>47</v>
      </c>
      <c r="D89" t="str">
        <f t="shared" si="9"/>
        <v>2015 - June</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t="s">
        <v>43</v>
      </c>
      <c r="W89">
        <v>122.6</v>
      </c>
      <c r="X89">
        <v>122.8</v>
      </c>
      <c r="Y89">
        <v>120.4</v>
      </c>
      <c r="Z89">
        <v>114.2</v>
      </c>
      <c r="AA89">
        <v>117.9</v>
      </c>
      <c r="AB89">
        <v>122</v>
      </c>
      <c r="AC89">
        <v>113</v>
      </c>
      <c r="AD89">
        <v>117.9</v>
      </c>
      <c r="AE89">
        <v>124.1</v>
      </c>
      <c r="AF89">
        <f t="shared" si="8"/>
        <v>1746.1</v>
      </c>
      <c r="AG89">
        <f t="shared" si="10"/>
        <v>381.5</v>
      </c>
      <c r="AH89">
        <f t="shared" si="11"/>
        <v>245.39999999999998</v>
      </c>
      <c r="AI89">
        <f t="shared" si="12"/>
        <v>233.4</v>
      </c>
      <c r="AJ89">
        <f t="shared" si="13"/>
        <v>114.2</v>
      </c>
      <c r="AK89">
        <f t="shared" si="14"/>
        <v>117.9</v>
      </c>
      <c r="AL89">
        <f t="shared" si="15"/>
        <v>122</v>
      </c>
    </row>
    <row r="90" spans="1:38" x14ac:dyDescent="0.3">
      <c r="A90" t="s">
        <v>36</v>
      </c>
      <c r="B90">
        <v>2015</v>
      </c>
      <c r="C90" t="s">
        <v>47</v>
      </c>
      <c r="D90" t="str">
        <f t="shared" si="9"/>
        <v>2015 - June</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c r="AF90">
        <f t="shared" si="8"/>
        <v>1768.6999999999998</v>
      </c>
      <c r="AG90">
        <f t="shared" si="10"/>
        <v>363.1</v>
      </c>
      <c r="AH90">
        <f t="shared" si="11"/>
        <v>353.3</v>
      </c>
      <c r="AI90">
        <f t="shared" si="12"/>
        <v>227.9</v>
      </c>
      <c r="AJ90">
        <f t="shared" si="13"/>
        <v>111.7</v>
      </c>
      <c r="AK90">
        <f t="shared" si="14"/>
        <v>116.2</v>
      </c>
      <c r="AL90">
        <f t="shared" si="15"/>
        <v>123.8</v>
      </c>
    </row>
    <row r="91" spans="1:38" x14ac:dyDescent="0.3">
      <c r="A91" t="s">
        <v>37</v>
      </c>
      <c r="B91">
        <v>2015</v>
      </c>
      <c r="C91" t="s">
        <v>47</v>
      </c>
      <c r="D91" t="str">
        <f t="shared" si="9"/>
        <v>2015 - June</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c r="AF91">
        <f t="shared" si="8"/>
        <v>1752.7</v>
      </c>
      <c r="AG91">
        <f t="shared" si="10"/>
        <v>374.1</v>
      </c>
      <c r="AH91">
        <f t="shared" si="11"/>
        <v>359.9</v>
      </c>
      <c r="AI91">
        <f t="shared" si="12"/>
        <v>231.3</v>
      </c>
      <c r="AJ91">
        <f t="shared" si="13"/>
        <v>112.9</v>
      </c>
      <c r="AK91">
        <f t="shared" si="14"/>
        <v>116.9</v>
      </c>
      <c r="AL91">
        <f t="shared" si="15"/>
        <v>123.1</v>
      </c>
    </row>
    <row r="92" spans="1:38" x14ac:dyDescent="0.3">
      <c r="A92" t="s">
        <v>33</v>
      </c>
      <c r="B92">
        <v>2015</v>
      </c>
      <c r="C92" t="s">
        <v>48</v>
      </c>
      <c r="D92" t="str">
        <f t="shared" si="9"/>
        <v>2015 - July</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t="s">
        <v>43</v>
      </c>
      <c r="W92">
        <v>123</v>
      </c>
      <c r="X92">
        <v>123</v>
      </c>
      <c r="Y92">
        <v>120.8</v>
      </c>
      <c r="Z92">
        <v>114.1</v>
      </c>
      <c r="AA92">
        <v>118</v>
      </c>
      <c r="AB92">
        <v>122.9</v>
      </c>
      <c r="AC92">
        <v>112.7</v>
      </c>
      <c r="AD92">
        <v>118.1</v>
      </c>
      <c r="AE92">
        <v>124.7</v>
      </c>
      <c r="AF92">
        <f t="shared" si="8"/>
        <v>1754.7</v>
      </c>
      <c r="AG92">
        <f t="shared" si="10"/>
        <v>382.6</v>
      </c>
      <c r="AH92">
        <f t="shared" si="11"/>
        <v>246</v>
      </c>
      <c r="AI92">
        <f t="shared" si="12"/>
        <v>233.5</v>
      </c>
      <c r="AJ92">
        <f t="shared" si="13"/>
        <v>114.1</v>
      </c>
      <c r="AK92">
        <f t="shared" si="14"/>
        <v>118</v>
      </c>
      <c r="AL92">
        <f t="shared" si="15"/>
        <v>122.9</v>
      </c>
    </row>
    <row r="93" spans="1:38" x14ac:dyDescent="0.3">
      <c r="A93" t="s">
        <v>36</v>
      </c>
      <c r="B93">
        <v>2015</v>
      </c>
      <c r="C93" t="s">
        <v>48</v>
      </c>
      <c r="D93" t="str">
        <f t="shared" si="9"/>
        <v>2015 - July</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c r="AF93">
        <f t="shared" si="8"/>
        <v>1775.9999999999998</v>
      </c>
      <c r="AG93">
        <f t="shared" si="10"/>
        <v>364.1</v>
      </c>
      <c r="AH93">
        <f t="shared" si="11"/>
        <v>354.7</v>
      </c>
      <c r="AI93">
        <f t="shared" si="12"/>
        <v>227.7</v>
      </c>
      <c r="AJ93">
        <f t="shared" si="13"/>
        <v>111.5</v>
      </c>
      <c r="AK93">
        <f t="shared" si="14"/>
        <v>116.6</v>
      </c>
      <c r="AL93">
        <f t="shared" si="15"/>
        <v>125.4</v>
      </c>
    </row>
    <row r="94" spans="1:38" x14ac:dyDescent="0.3">
      <c r="A94" t="s">
        <v>37</v>
      </c>
      <c r="B94">
        <v>2015</v>
      </c>
      <c r="C94" t="s">
        <v>48</v>
      </c>
      <c r="D94" t="str">
        <f t="shared" si="9"/>
        <v>2015 - July</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c r="AF94">
        <f t="shared" si="8"/>
        <v>1761.0000000000002</v>
      </c>
      <c r="AG94">
        <f t="shared" si="10"/>
        <v>375.1</v>
      </c>
      <c r="AH94">
        <f t="shared" si="11"/>
        <v>361.3</v>
      </c>
      <c r="AI94">
        <f t="shared" si="12"/>
        <v>231.3</v>
      </c>
      <c r="AJ94">
        <f t="shared" si="13"/>
        <v>112.7</v>
      </c>
      <c r="AK94">
        <f t="shared" si="14"/>
        <v>117.2</v>
      </c>
      <c r="AL94">
        <f t="shared" si="15"/>
        <v>124.4</v>
      </c>
    </row>
    <row r="95" spans="1:38" x14ac:dyDescent="0.3">
      <c r="A95" t="s">
        <v>33</v>
      </c>
      <c r="B95">
        <v>2015</v>
      </c>
      <c r="C95" t="s">
        <v>49</v>
      </c>
      <c r="D95" t="str">
        <f t="shared" si="9"/>
        <v>2015 - August</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t="s">
        <v>43</v>
      </c>
      <c r="W95">
        <v>123.8</v>
      </c>
      <c r="X95">
        <v>123.7</v>
      </c>
      <c r="Y95">
        <v>121.1</v>
      </c>
      <c r="Z95">
        <v>113.6</v>
      </c>
      <c r="AA95">
        <v>118.5</v>
      </c>
      <c r="AB95">
        <v>123.6</v>
      </c>
      <c r="AC95">
        <v>112.5</v>
      </c>
      <c r="AD95">
        <v>118.2</v>
      </c>
      <c r="AE95">
        <v>126.1</v>
      </c>
      <c r="AF95">
        <f t="shared" si="8"/>
        <v>1776.6999999999998</v>
      </c>
      <c r="AG95">
        <f t="shared" si="10"/>
        <v>384.8</v>
      </c>
      <c r="AH95">
        <f t="shared" si="11"/>
        <v>247.5</v>
      </c>
      <c r="AI95">
        <f t="shared" si="12"/>
        <v>233.6</v>
      </c>
      <c r="AJ95">
        <f t="shared" si="13"/>
        <v>113.6</v>
      </c>
      <c r="AK95">
        <f t="shared" si="14"/>
        <v>118.5</v>
      </c>
      <c r="AL95">
        <f t="shared" si="15"/>
        <v>123.6</v>
      </c>
    </row>
    <row r="96" spans="1:38" x14ac:dyDescent="0.3">
      <c r="A96" t="s">
        <v>36</v>
      </c>
      <c r="B96">
        <v>2015</v>
      </c>
      <c r="C96" t="s">
        <v>49</v>
      </c>
      <c r="D96" t="str">
        <f t="shared" si="9"/>
        <v>2015 - August</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c r="AF96">
        <f t="shared" si="8"/>
        <v>1793.1</v>
      </c>
      <c r="AG96">
        <f t="shared" si="10"/>
        <v>364.8</v>
      </c>
      <c r="AH96">
        <f t="shared" si="11"/>
        <v>356.2</v>
      </c>
      <c r="AI96">
        <f t="shared" si="12"/>
        <v>228.6</v>
      </c>
      <c r="AJ96">
        <f t="shared" si="13"/>
        <v>109.9</v>
      </c>
      <c r="AK96">
        <f t="shared" si="14"/>
        <v>117.2</v>
      </c>
      <c r="AL96">
        <f t="shared" si="15"/>
        <v>126.2</v>
      </c>
    </row>
    <row r="97" spans="1:38" x14ac:dyDescent="0.3">
      <c r="A97" t="s">
        <v>37</v>
      </c>
      <c r="B97">
        <v>2015</v>
      </c>
      <c r="C97" t="s">
        <v>49</v>
      </c>
      <c r="D97" t="str">
        <f t="shared" si="9"/>
        <v>2015 - August</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c r="AF97">
        <f t="shared" si="8"/>
        <v>1780.8</v>
      </c>
      <c r="AG97">
        <f t="shared" si="10"/>
        <v>376.70000000000005</v>
      </c>
      <c r="AH97">
        <f t="shared" si="11"/>
        <v>363.5</v>
      </c>
      <c r="AI97">
        <f t="shared" si="12"/>
        <v>231.7</v>
      </c>
      <c r="AJ97">
        <f t="shared" si="13"/>
        <v>111.7</v>
      </c>
      <c r="AK97">
        <f t="shared" si="14"/>
        <v>117.8</v>
      </c>
      <c r="AL97">
        <f t="shared" si="15"/>
        <v>125.1</v>
      </c>
    </row>
    <row r="98" spans="1:38" x14ac:dyDescent="0.3">
      <c r="A98" t="s">
        <v>33</v>
      </c>
      <c r="B98">
        <v>2015</v>
      </c>
      <c r="C98" t="s">
        <v>50</v>
      </c>
      <c r="D98" t="str">
        <f t="shared" si="9"/>
        <v>2015 - September</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t="s">
        <v>43</v>
      </c>
      <c r="W98">
        <v>123.7</v>
      </c>
      <c r="X98">
        <v>124.5</v>
      </c>
      <c r="Y98">
        <v>121.4</v>
      </c>
      <c r="Z98">
        <v>113.8</v>
      </c>
      <c r="AA98">
        <v>119.6</v>
      </c>
      <c r="AB98">
        <v>124.5</v>
      </c>
      <c r="AC98">
        <v>113.7</v>
      </c>
      <c r="AD98">
        <v>118.8</v>
      </c>
      <c r="AE98">
        <v>127</v>
      </c>
      <c r="AF98">
        <f t="shared" si="8"/>
        <v>1788.6000000000001</v>
      </c>
      <c r="AG98">
        <f t="shared" si="10"/>
        <v>387.1</v>
      </c>
      <c r="AH98">
        <f t="shared" si="11"/>
        <v>248.2</v>
      </c>
      <c r="AI98">
        <f t="shared" si="12"/>
        <v>235.10000000000002</v>
      </c>
      <c r="AJ98">
        <f t="shared" si="13"/>
        <v>113.8</v>
      </c>
      <c r="AK98">
        <f t="shared" si="14"/>
        <v>119.6</v>
      </c>
      <c r="AL98">
        <f t="shared" si="15"/>
        <v>124.5</v>
      </c>
    </row>
    <row r="99" spans="1:38" x14ac:dyDescent="0.3">
      <c r="A99" t="s">
        <v>36</v>
      </c>
      <c r="B99">
        <v>2015</v>
      </c>
      <c r="C99" t="s">
        <v>50</v>
      </c>
      <c r="D99" t="str">
        <f t="shared" si="9"/>
        <v>2015 - September</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c r="AF99">
        <f t="shared" si="8"/>
        <v>1799.5</v>
      </c>
      <c r="AG99">
        <f t="shared" si="10"/>
        <v>365.8</v>
      </c>
      <c r="AH99">
        <f t="shared" si="11"/>
        <v>357.1</v>
      </c>
      <c r="AI99">
        <f t="shared" si="12"/>
        <v>230</v>
      </c>
      <c r="AJ99">
        <f t="shared" si="13"/>
        <v>109.1</v>
      </c>
      <c r="AK99">
        <f t="shared" si="14"/>
        <v>117.3</v>
      </c>
      <c r="AL99">
        <f t="shared" si="15"/>
        <v>126.5</v>
      </c>
    </row>
    <row r="100" spans="1:38" x14ac:dyDescent="0.3">
      <c r="A100" t="s">
        <v>37</v>
      </c>
      <c r="B100">
        <v>2015</v>
      </c>
      <c r="C100" t="s">
        <v>50</v>
      </c>
      <c r="D100" t="str">
        <f t="shared" si="9"/>
        <v>2015 - September</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c r="AF100">
        <f t="shared" si="8"/>
        <v>1790.3000000000002</v>
      </c>
      <c r="AG100">
        <f t="shared" si="10"/>
        <v>378.5</v>
      </c>
      <c r="AH100">
        <f t="shared" si="11"/>
        <v>364.6</v>
      </c>
      <c r="AI100">
        <f t="shared" si="12"/>
        <v>233.2</v>
      </c>
      <c r="AJ100">
        <f t="shared" si="13"/>
        <v>111.3</v>
      </c>
      <c r="AK100">
        <f t="shared" si="14"/>
        <v>118.3</v>
      </c>
      <c r="AL100">
        <f t="shared" si="15"/>
        <v>125.7</v>
      </c>
    </row>
    <row r="101" spans="1:38" x14ac:dyDescent="0.3">
      <c r="A101" t="s">
        <v>33</v>
      </c>
      <c r="B101">
        <v>2015</v>
      </c>
      <c r="C101" t="s">
        <v>51</v>
      </c>
      <c r="D101" t="str">
        <f t="shared" si="9"/>
        <v>2015 - October</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t="s">
        <v>43</v>
      </c>
      <c r="W101">
        <v>124.4</v>
      </c>
      <c r="X101">
        <v>125.1</v>
      </c>
      <c r="Y101">
        <v>122</v>
      </c>
      <c r="Z101">
        <v>113.8</v>
      </c>
      <c r="AA101">
        <v>120.1</v>
      </c>
      <c r="AB101">
        <v>125.1</v>
      </c>
      <c r="AC101">
        <v>114.2</v>
      </c>
      <c r="AD101">
        <v>119.2</v>
      </c>
      <c r="AE101">
        <v>127.7</v>
      </c>
      <c r="AF101">
        <f t="shared" si="8"/>
        <v>1806.1</v>
      </c>
      <c r="AG101">
        <f t="shared" si="10"/>
        <v>389</v>
      </c>
      <c r="AH101">
        <f t="shared" si="11"/>
        <v>249.5</v>
      </c>
      <c r="AI101">
        <f t="shared" si="12"/>
        <v>236.2</v>
      </c>
      <c r="AJ101">
        <f t="shared" si="13"/>
        <v>113.8</v>
      </c>
      <c r="AK101">
        <f t="shared" si="14"/>
        <v>120.1</v>
      </c>
      <c r="AL101">
        <f t="shared" si="15"/>
        <v>125.1</v>
      </c>
    </row>
    <row r="102" spans="1:38" x14ac:dyDescent="0.3">
      <c r="A102" t="s">
        <v>36</v>
      </c>
      <c r="B102">
        <v>2015</v>
      </c>
      <c r="C102" t="s">
        <v>51</v>
      </c>
      <c r="D102" t="str">
        <f t="shared" si="9"/>
        <v>2015 - October</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c r="AF102">
        <f t="shared" si="8"/>
        <v>1828.1000000000001</v>
      </c>
      <c r="AG102">
        <f t="shared" si="10"/>
        <v>366.79999999999995</v>
      </c>
      <c r="AH102">
        <f t="shared" si="11"/>
        <v>358</v>
      </c>
      <c r="AI102">
        <f t="shared" si="12"/>
        <v>231.2</v>
      </c>
      <c r="AJ102">
        <f t="shared" si="13"/>
        <v>109.3</v>
      </c>
      <c r="AK102">
        <f t="shared" si="14"/>
        <v>117.7</v>
      </c>
      <c r="AL102">
        <f t="shared" si="15"/>
        <v>126.5</v>
      </c>
    </row>
    <row r="103" spans="1:38" x14ac:dyDescent="0.3">
      <c r="A103" t="s">
        <v>37</v>
      </c>
      <c r="B103">
        <v>2015</v>
      </c>
      <c r="C103" t="s">
        <v>51</v>
      </c>
      <c r="D103" t="str">
        <f t="shared" si="9"/>
        <v>2015 - October</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c r="AF103">
        <f t="shared" si="8"/>
        <v>1811.4999999999998</v>
      </c>
      <c r="AG103">
        <f t="shared" si="10"/>
        <v>380.1</v>
      </c>
      <c r="AH103">
        <f t="shared" si="11"/>
        <v>366.2</v>
      </c>
      <c r="AI103">
        <f t="shared" si="12"/>
        <v>234.3</v>
      </c>
      <c r="AJ103">
        <f t="shared" si="13"/>
        <v>111.4</v>
      </c>
      <c r="AK103">
        <f t="shared" si="14"/>
        <v>118.7</v>
      </c>
      <c r="AL103">
        <f t="shared" si="15"/>
        <v>125.9</v>
      </c>
    </row>
    <row r="104" spans="1:38" x14ac:dyDescent="0.3">
      <c r="A104" t="s">
        <v>33</v>
      </c>
      <c r="B104">
        <v>2015</v>
      </c>
      <c r="C104" t="s">
        <v>53</v>
      </c>
      <c r="D104" t="str">
        <f t="shared" si="9"/>
        <v>2015 - November</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t="s">
        <v>43</v>
      </c>
      <c r="W104">
        <v>125.6</v>
      </c>
      <c r="X104">
        <v>125.6</v>
      </c>
      <c r="Y104">
        <v>122.6</v>
      </c>
      <c r="Z104">
        <v>114</v>
      </c>
      <c r="AA104">
        <v>120.9</v>
      </c>
      <c r="AB104">
        <v>125.8</v>
      </c>
      <c r="AC104">
        <v>114.2</v>
      </c>
      <c r="AD104">
        <v>119.6</v>
      </c>
      <c r="AE104">
        <v>128.30000000000001</v>
      </c>
      <c r="AF104">
        <f t="shared" si="8"/>
        <v>1818.5</v>
      </c>
      <c r="AG104">
        <f t="shared" si="10"/>
        <v>391.79999999999995</v>
      </c>
      <c r="AH104">
        <f t="shared" si="11"/>
        <v>251.2</v>
      </c>
      <c r="AI104">
        <f t="shared" si="12"/>
        <v>236.8</v>
      </c>
      <c r="AJ104">
        <f t="shared" si="13"/>
        <v>114</v>
      </c>
      <c r="AK104">
        <f t="shared" si="14"/>
        <v>120.9</v>
      </c>
      <c r="AL104">
        <f t="shared" si="15"/>
        <v>125.8</v>
      </c>
    </row>
    <row r="105" spans="1:38" x14ac:dyDescent="0.3">
      <c r="A105" t="s">
        <v>36</v>
      </c>
      <c r="B105">
        <v>2015</v>
      </c>
      <c r="C105" t="s">
        <v>53</v>
      </c>
      <c r="D105" t="str">
        <f t="shared" si="9"/>
        <v>2015 - November</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c r="AF105">
        <f t="shared" si="8"/>
        <v>1846.0999999999997</v>
      </c>
      <c r="AG105">
        <f t="shared" si="10"/>
        <v>368.5</v>
      </c>
      <c r="AH105">
        <f t="shared" si="11"/>
        <v>359</v>
      </c>
      <c r="AI105">
        <f t="shared" si="12"/>
        <v>231.39999999999998</v>
      </c>
      <c r="AJ105">
        <f t="shared" si="13"/>
        <v>109.3</v>
      </c>
      <c r="AK105">
        <f t="shared" si="14"/>
        <v>117.9</v>
      </c>
      <c r="AL105">
        <f t="shared" si="15"/>
        <v>126.6</v>
      </c>
    </row>
    <row r="106" spans="1:38" x14ac:dyDescent="0.3">
      <c r="A106" t="s">
        <v>37</v>
      </c>
      <c r="B106">
        <v>2015</v>
      </c>
      <c r="C106" t="s">
        <v>53</v>
      </c>
      <c r="D106" t="str">
        <f t="shared" si="9"/>
        <v>2015 - November</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c r="AF106">
        <f t="shared" si="8"/>
        <v>1825.6999999999998</v>
      </c>
      <c r="AG106">
        <f t="shared" si="10"/>
        <v>382.4</v>
      </c>
      <c r="AH106">
        <f t="shared" si="11"/>
        <v>367.9</v>
      </c>
      <c r="AI106">
        <f t="shared" si="12"/>
        <v>234.7</v>
      </c>
      <c r="AJ106">
        <f t="shared" si="13"/>
        <v>111.5</v>
      </c>
      <c r="AK106">
        <f t="shared" si="14"/>
        <v>119.2</v>
      </c>
      <c r="AL106">
        <f t="shared" si="15"/>
        <v>126.3</v>
      </c>
    </row>
    <row r="107" spans="1:38" x14ac:dyDescent="0.3">
      <c r="A107" t="s">
        <v>33</v>
      </c>
      <c r="B107">
        <v>2015</v>
      </c>
      <c r="C107" t="s">
        <v>54</v>
      </c>
      <c r="D107" t="str">
        <f t="shared" si="9"/>
        <v>2015 - December</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t="s">
        <v>43</v>
      </c>
      <c r="W107">
        <v>125.7</v>
      </c>
      <c r="X107">
        <v>126</v>
      </c>
      <c r="Y107">
        <v>123.1</v>
      </c>
      <c r="Z107">
        <v>114</v>
      </c>
      <c r="AA107">
        <v>121.6</v>
      </c>
      <c r="AB107">
        <v>125.6</v>
      </c>
      <c r="AC107">
        <v>114.1</v>
      </c>
      <c r="AD107">
        <v>119.8</v>
      </c>
      <c r="AE107">
        <v>127.9</v>
      </c>
      <c r="AF107">
        <f t="shared" si="8"/>
        <v>1815.4</v>
      </c>
      <c r="AG107">
        <f t="shared" si="10"/>
        <v>392.9</v>
      </c>
      <c r="AH107">
        <f t="shared" si="11"/>
        <v>251.7</v>
      </c>
      <c r="AI107">
        <f t="shared" si="12"/>
        <v>237.2</v>
      </c>
      <c r="AJ107">
        <f t="shared" si="13"/>
        <v>114</v>
      </c>
      <c r="AK107">
        <f t="shared" si="14"/>
        <v>121.6</v>
      </c>
      <c r="AL107">
        <f t="shared" si="15"/>
        <v>125.6</v>
      </c>
    </row>
    <row r="108" spans="1:38" x14ac:dyDescent="0.3">
      <c r="A108" t="s">
        <v>36</v>
      </c>
      <c r="B108">
        <v>2015</v>
      </c>
      <c r="C108" t="s">
        <v>54</v>
      </c>
      <c r="D108" t="str">
        <f t="shared" si="9"/>
        <v>2015 - December</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c r="AF108">
        <f t="shared" si="8"/>
        <v>1837</v>
      </c>
      <c r="AG108">
        <f t="shared" si="10"/>
        <v>369.4</v>
      </c>
      <c r="AH108">
        <f t="shared" si="11"/>
        <v>359.4</v>
      </c>
      <c r="AI108">
        <f t="shared" si="12"/>
        <v>231.8</v>
      </c>
      <c r="AJ108">
        <f t="shared" si="13"/>
        <v>109.3</v>
      </c>
      <c r="AK108">
        <f t="shared" si="14"/>
        <v>118.1</v>
      </c>
      <c r="AL108">
        <f t="shared" si="15"/>
        <v>126.6</v>
      </c>
    </row>
    <row r="109" spans="1:38" x14ac:dyDescent="0.3">
      <c r="A109" t="s">
        <v>37</v>
      </c>
      <c r="B109">
        <v>2015</v>
      </c>
      <c r="C109" t="s">
        <v>54</v>
      </c>
      <c r="D109" t="str">
        <f t="shared" si="9"/>
        <v>2015 - December</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c r="AF109">
        <f t="shared" si="8"/>
        <v>1820.6000000000001</v>
      </c>
      <c r="AG109">
        <f t="shared" si="10"/>
        <v>383.5</v>
      </c>
      <c r="AH109">
        <f t="shared" si="11"/>
        <v>368</v>
      </c>
      <c r="AI109">
        <f t="shared" si="12"/>
        <v>235.10000000000002</v>
      </c>
      <c r="AJ109">
        <f t="shared" si="13"/>
        <v>111.5</v>
      </c>
      <c r="AK109">
        <f t="shared" si="14"/>
        <v>119.6</v>
      </c>
      <c r="AL109">
        <f t="shared" si="15"/>
        <v>126.2</v>
      </c>
    </row>
    <row r="110" spans="1:38" x14ac:dyDescent="0.3">
      <c r="A110" t="s">
        <v>33</v>
      </c>
      <c r="B110">
        <v>2016</v>
      </c>
      <c r="C110" t="s">
        <v>42</v>
      </c>
      <c r="D110" t="str">
        <f t="shared" si="9"/>
        <v>2016 - January</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t="s">
        <v>43</v>
      </c>
      <c r="W110">
        <v>126.2</v>
      </c>
      <c r="X110">
        <v>126.6</v>
      </c>
      <c r="Y110">
        <v>123.7</v>
      </c>
      <c r="Z110">
        <v>113.6</v>
      </c>
      <c r="AA110">
        <v>121.4</v>
      </c>
      <c r="AB110">
        <v>126.2</v>
      </c>
      <c r="AC110">
        <v>114.9</v>
      </c>
      <c r="AD110">
        <v>120.1</v>
      </c>
      <c r="AE110">
        <v>128.1</v>
      </c>
      <c r="AF110">
        <f t="shared" si="8"/>
        <v>1823.7</v>
      </c>
      <c r="AG110">
        <f t="shared" si="10"/>
        <v>394.70000000000005</v>
      </c>
      <c r="AH110">
        <f t="shared" si="11"/>
        <v>252.8</v>
      </c>
      <c r="AI110">
        <f t="shared" si="12"/>
        <v>238.60000000000002</v>
      </c>
      <c r="AJ110">
        <f t="shared" si="13"/>
        <v>113.6</v>
      </c>
      <c r="AK110">
        <f t="shared" si="14"/>
        <v>121.4</v>
      </c>
      <c r="AL110">
        <f t="shared" si="15"/>
        <v>126.2</v>
      </c>
    </row>
    <row r="111" spans="1:38" x14ac:dyDescent="0.3">
      <c r="A111" t="s">
        <v>36</v>
      </c>
      <c r="B111">
        <v>2016</v>
      </c>
      <c r="C111" t="s">
        <v>42</v>
      </c>
      <c r="D111" t="str">
        <f t="shared" si="9"/>
        <v>2016 - January</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c r="AF111">
        <f t="shared" si="8"/>
        <v>1840.9</v>
      </c>
      <c r="AG111">
        <f t="shared" si="10"/>
        <v>370.5</v>
      </c>
      <c r="AH111">
        <f t="shared" si="11"/>
        <v>361.9</v>
      </c>
      <c r="AI111">
        <f t="shared" si="12"/>
        <v>233.1</v>
      </c>
      <c r="AJ111">
        <f t="shared" si="13"/>
        <v>108.9</v>
      </c>
      <c r="AK111">
        <f t="shared" si="14"/>
        <v>118.5</v>
      </c>
      <c r="AL111">
        <f t="shared" si="15"/>
        <v>126.4</v>
      </c>
    </row>
    <row r="112" spans="1:38" x14ac:dyDescent="0.3">
      <c r="A112" t="s">
        <v>37</v>
      </c>
      <c r="B112">
        <v>2016</v>
      </c>
      <c r="C112" t="s">
        <v>42</v>
      </c>
      <c r="D112" t="str">
        <f t="shared" si="9"/>
        <v>2016 - January</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c r="AF112">
        <f t="shared" si="8"/>
        <v>1826.9</v>
      </c>
      <c r="AG112">
        <f t="shared" si="10"/>
        <v>384.9</v>
      </c>
      <c r="AH112">
        <f t="shared" si="11"/>
        <v>370.3</v>
      </c>
      <c r="AI112">
        <f t="shared" si="12"/>
        <v>236.5</v>
      </c>
      <c r="AJ112">
        <f t="shared" si="13"/>
        <v>111.1</v>
      </c>
      <c r="AK112">
        <f t="shared" si="14"/>
        <v>119.8</v>
      </c>
      <c r="AL112">
        <f t="shared" si="15"/>
        <v>126.3</v>
      </c>
    </row>
    <row r="113" spans="1:38" x14ac:dyDescent="0.3">
      <c r="A113" t="s">
        <v>33</v>
      </c>
      <c r="B113">
        <v>2016</v>
      </c>
      <c r="C113" t="s">
        <v>44</v>
      </c>
      <c r="D113" t="str">
        <f t="shared" si="9"/>
        <v>2016 - February</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t="s">
        <v>43</v>
      </c>
      <c r="W113">
        <v>127.5</v>
      </c>
      <c r="X113">
        <v>127.1</v>
      </c>
      <c r="Y113">
        <v>124.3</v>
      </c>
      <c r="Z113">
        <v>113.9</v>
      </c>
      <c r="AA113">
        <v>122.3</v>
      </c>
      <c r="AB113">
        <v>127.1</v>
      </c>
      <c r="AC113">
        <v>116.8</v>
      </c>
      <c r="AD113">
        <v>120.9</v>
      </c>
      <c r="AE113">
        <v>127.9</v>
      </c>
      <c r="AF113">
        <f t="shared" si="8"/>
        <v>1817</v>
      </c>
      <c r="AG113">
        <f t="shared" si="10"/>
        <v>397.1</v>
      </c>
      <c r="AH113">
        <f t="shared" si="11"/>
        <v>254.6</v>
      </c>
      <c r="AI113">
        <f t="shared" si="12"/>
        <v>241.1</v>
      </c>
      <c r="AJ113">
        <f t="shared" si="13"/>
        <v>113.9</v>
      </c>
      <c r="AK113">
        <f t="shared" si="14"/>
        <v>122.3</v>
      </c>
      <c r="AL113">
        <f t="shared" si="15"/>
        <v>127.1</v>
      </c>
    </row>
    <row r="114" spans="1:38" x14ac:dyDescent="0.3">
      <c r="A114" t="s">
        <v>36</v>
      </c>
      <c r="B114">
        <v>2016</v>
      </c>
      <c r="C114" t="s">
        <v>44</v>
      </c>
      <c r="D114" t="str">
        <f t="shared" si="9"/>
        <v>2016 - February</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c r="AF114">
        <f t="shared" si="8"/>
        <v>1816.1</v>
      </c>
      <c r="AG114">
        <f t="shared" si="10"/>
        <v>371.6</v>
      </c>
      <c r="AH114">
        <f t="shared" si="11"/>
        <v>362.2</v>
      </c>
      <c r="AI114">
        <f t="shared" si="12"/>
        <v>235.7</v>
      </c>
      <c r="AJ114">
        <f t="shared" si="13"/>
        <v>109.1</v>
      </c>
      <c r="AK114">
        <f t="shared" si="14"/>
        <v>118.8</v>
      </c>
      <c r="AL114">
        <f t="shared" si="15"/>
        <v>126.3</v>
      </c>
    </row>
    <row r="115" spans="1:38" x14ac:dyDescent="0.3">
      <c r="A115" t="s">
        <v>37</v>
      </c>
      <c r="B115">
        <v>2016</v>
      </c>
      <c r="C115" t="s">
        <v>44</v>
      </c>
      <c r="D115" t="str">
        <f t="shared" si="9"/>
        <v>2016 - February</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c r="AF115">
        <f t="shared" si="8"/>
        <v>1814</v>
      </c>
      <c r="AG115">
        <f t="shared" si="10"/>
        <v>386.9</v>
      </c>
      <c r="AH115">
        <f t="shared" si="11"/>
        <v>372.1</v>
      </c>
      <c r="AI115">
        <f t="shared" si="12"/>
        <v>239.1</v>
      </c>
      <c r="AJ115">
        <f t="shared" si="13"/>
        <v>111.4</v>
      </c>
      <c r="AK115">
        <f t="shared" si="14"/>
        <v>120.3</v>
      </c>
      <c r="AL115">
        <f t="shared" si="15"/>
        <v>126.6</v>
      </c>
    </row>
    <row r="116" spans="1:38" x14ac:dyDescent="0.3">
      <c r="A116" t="s">
        <v>33</v>
      </c>
      <c r="B116">
        <v>2016</v>
      </c>
      <c r="C116" t="s">
        <v>45</v>
      </c>
      <c r="D116" t="str">
        <f t="shared" si="9"/>
        <v>2016 - March</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t="s">
        <v>43</v>
      </c>
      <c r="W116">
        <v>127</v>
      </c>
      <c r="X116">
        <v>127.7</v>
      </c>
      <c r="Y116">
        <v>124.8</v>
      </c>
      <c r="Z116">
        <v>113.6</v>
      </c>
      <c r="AA116">
        <v>122.5</v>
      </c>
      <c r="AB116">
        <v>127.5</v>
      </c>
      <c r="AC116">
        <v>117.4</v>
      </c>
      <c r="AD116">
        <v>121.1</v>
      </c>
      <c r="AE116">
        <v>128</v>
      </c>
      <c r="AF116">
        <f t="shared" si="8"/>
        <v>1817.7000000000003</v>
      </c>
      <c r="AG116">
        <f t="shared" si="10"/>
        <v>398.40000000000003</v>
      </c>
      <c r="AH116">
        <f t="shared" si="11"/>
        <v>254.7</v>
      </c>
      <c r="AI116">
        <f t="shared" si="12"/>
        <v>242.2</v>
      </c>
      <c r="AJ116">
        <f t="shared" si="13"/>
        <v>113.6</v>
      </c>
      <c r="AK116">
        <f t="shared" si="14"/>
        <v>122.5</v>
      </c>
      <c r="AL116">
        <f t="shared" si="15"/>
        <v>127.5</v>
      </c>
    </row>
    <row r="117" spans="1:38" x14ac:dyDescent="0.3">
      <c r="A117" t="s">
        <v>36</v>
      </c>
      <c r="B117">
        <v>2016</v>
      </c>
      <c r="C117" t="s">
        <v>45</v>
      </c>
      <c r="D117" t="str">
        <f t="shared" si="9"/>
        <v>2016 - March</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c r="AF117">
        <f t="shared" si="8"/>
        <v>1808.2</v>
      </c>
      <c r="AG117">
        <f t="shared" si="10"/>
        <v>372.2</v>
      </c>
      <c r="AH117">
        <f t="shared" si="11"/>
        <v>362</v>
      </c>
      <c r="AI117">
        <f t="shared" si="12"/>
        <v>236.8</v>
      </c>
      <c r="AJ117">
        <f t="shared" si="13"/>
        <v>108.5</v>
      </c>
      <c r="AK117">
        <f t="shared" si="14"/>
        <v>119.1</v>
      </c>
      <c r="AL117">
        <f t="shared" si="15"/>
        <v>126.4</v>
      </c>
    </row>
    <row r="118" spans="1:38" x14ac:dyDescent="0.3">
      <c r="A118" t="s">
        <v>37</v>
      </c>
      <c r="B118">
        <v>2016</v>
      </c>
      <c r="C118" t="s">
        <v>45</v>
      </c>
      <c r="D118" t="str">
        <f t="shared" si="9"/>
        <v>2016 - March</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c r="AF118">
        <f t="shared" si="8"/>
        <v>1811.7</v>
      </c>
      <c r="AG118">
        <f t="shared" si="10"/>
        <v>387.9</v>
      </c>
      <c r="AH118">
        <f t="shared" si="11"/>
        <v>372.4</v>
      </c>
      <c r="AI118">
        <f t="shared" si="12"/>
        <v>240.2</v>
      </c>
      <c r="AJ118">
        <f t="shared" si="13"/>
        <v>110.9</v>
      </c>
      <c r="AK118">
        <f t="shared" si="14"/>
        <v>120.6</v>
      </c>
      <c r="AL118">
        <f t="shared" si="15"/>
        <v>126.9</v>
      </c>
    </row>
    <row r="119" spans="1:38" x14ac:dyDescent="0.3">
      <c r="A119" t="s">
        <v>33</v>
      </c>
      <c r="B119">
        <v>2016</v>
      </c>
      <c r="C119" t="s">
        <v>46</v>
      </c>
      <c r="D119" t="str">
        <f t="shared" si="9"/>
        <v>2016 - April</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t="s">
        <v>43</v>
      </c>
      <c r="W119">
        <v>127</v>
      </c>
      <c r="X119">
        <v>128</v>
      </c>
      <c r="Y119">
        <v>125.2</v>
      </c>
      <c r="Z119">
        <v>114.4</v>
      </c>
      <c r="AA119">
        <v>123.2</v>
      </c>
      <c r="AB119">
        <v>127.9</v>
      </c>
      <c r="AC119">
        <v>118.4</v>
      </c>
      <c r="AD119">
        <v>121.7</v>
      </c>
      <c r="AE119">
        <v>129</v>
      </c>
      <c r="AF119">
        <f t="shared" si="8"/>
        <v>1837.1000000000004</v>
      </c>
      <c r="AG119">
        <f t="shared" si="10"/>
        <v>400</v>
      </c>
      <c r="AH119">
        <f t="shared" si="11"/>
        <v>255</v>
      </c>
      <c r="AI119">
        <f t="shared" si="12"/>
        <v>243.60000000000002</v>
      </c>
      <c r="AJ119">
        <f t="shared" si="13"/>
        <v>114.4</v>
      </c>
      <c r="AK119">
        <f t="shared" si="14"/>
        <v>123.2</v>
      </c>
      <c r="AL119">
        <f t="shared" si="15"/>
        <v>127.9</v>
      </c>
    </row>
    <row r="120" spans="1:38" x14ac:dyDescent="0.3">
      <c r="A120" t="s">
        <v>36</v>
      </c>
      <c r="B120">
        <v>2016</v>
      </c>
      <c r="C120" t="s">
        <v>46</v>
      </c>
      <c r="D120" t="str">
        <f t="shared" si="9"/>
        <v>2016 - April</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c r="AF120">
        <f t="shared" si="8"/>
        <v>1847.8</v>
      </c>
      <c r="AG120">
        <f t="shared" si="10"/>
        <v>373.1</v>
      </c>
      <c r="AH120">
        <f t="shared" si="11"/>
        <v>363</v>
      </c>
      <c r="AI120">
        <f t="shared" si="12"/>
        <v>237.6</v>
      </c>
      <c r="AJ120">
        <f t="shared" si="13"/>
        <v>110</v>
      </c>
      <c r="AK120">
        <f t="shared" si="14"/>
        <v>119.5</v>
      </c>
      <c r="AL120">
        <f t="shared" si="15"/>
        <v>127.6</v>
      </c>
    </row>
    <row r="121" spans="1:38" x14ac:dyDescent="0.3">
      <c r="A121" t="s">
        <v>37</v>
      </c>
      <c r="B121">
        <v>2016</v>
      </c>
      <c r="C121" t="s">
        <v>46</v>
      </c>
      <c r="D121" t="str">
        <f t="shared" si="9"/>
        <v>2016 - April</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c r="AF121">
        <f t="shared" si="8"/>
        <v>1838.3999999999999</v>
      </c>
      <c r="AG121">
        <f t="shared" si="10"/>
        <v>389.20000000000005</v>
      </c>
      <c r="AH121">
        <f t="shared" si="11"/>
        <v>373.4</v>
      </c>
      <c r="AI121">
        <f t="shared" si="12"/>
        <v>241.3</v>
      </c>
      <c r="AJ121">
        <f t="shared" si="13"/>
        <v>112.1</v>
      </c>
      <c r="AK121">
        <f t="shared" si="14"/>
        <v>121.1</v>
      </c>
      <c r="AL121">
        <f t="shared" si="15"/>
        <v>127.7</v>
      </c>
    </row>
    <row r="122" spans="1:38" x14ac:dyDescent="0.3">
      <c r="A122" t="s">
        <v>33</v>
      </c>
      <c r="B122">
        <v>2016</v>
      </c>
      <c r="C122" t="s">
        <v>34</v>
      </c>
      <c r="D122" t="str">
        <f t="shared" si="9"/>
        <v>2016 - May</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t="s">
        <v>43</v>
      </c>
      <c r="W122">
        <v>127.4</v>
      </c>
      <c r="X122">
        <v>128.5</v>
      </c>
      <c r="Y122">
        <v>125.8</v>
      </c>
      <c r="Z122">
        <v>115.1</v>
      </c>
      <c r="AA122">
        <v>123.6</v>
      </c>
      <c r="AB122">
        <v>129.1</v>
      </c>
      <c r="AC122">
        <v>119.7</v>
      </c>
      <c r="AD122">
        <v>122.5</v>
      </c>
      <c r="AE122">
        <v>130.30000000000001</v>
      </c>
      <c r="AF122">
        <f t="shared" si="8"/>
        <v>1859.6999999999998</v>
      </c>
      <c r="AG122">
        <f t="shared" si="10"/>
        <v>401.3</v>
      </c>
      <c r="AH122">
        <f t="shared" si="11"/>
        <v>255.9</v>
      </c>
      <c r="AI122">
        <f t="shared" si="12"/>
        <v>245.5</v>
      </c>
      <c r="AJ122">
        <f t="shared" si="13"/>
        <v>115.1</v>
      </c>
      <c r="AK122">
        <f t="shared" si="14"/>
        <v>123.6</v>
      </c>
      <c r="AL122">
        <f t="shared" si="15"/>
        <v>129.1</v>
      </c>
    </row>
    <row r="123" spans="1:38" x14ac:dyDescent="0.3">
      <c r="A123" t="s">
        <v>36</v>
      </c>
      <c r="B123">
        <v>2016</v>
      </c>
      <c r="C123" t="s">
        <v>34</v>
      </c>
      <c r="D123" t="str">
        <f t="shared" si="9"/>
        <v>2016 - May</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c r="AF123">
        <f t="shared" si="8"/>
        <v>1888.9999999999998</v>
      </c>
      <c r="AG123">
        <f t="shared" si="10"/>
        <v>374.1</v>
      </c>
      <c r="AH123">
        <f t="shared" si="11"/>
        <v>364.2</v>
      </c>
      <c r="AI123">
        <f t="shared" si="12"/>
        <v>238.8</v>
      </c>
      <c r="AJ123">
        <f t="shared" si="13"/>
        <v>110.7</v>
      </c>
      <c r="AK123">
        <f t="shared" si="14"/>
        <v>119.8</v>
      </c>
      <c r="AL123">
        <f t="shared" si="15"/>
        <v>128</v>
      </c>
    </row>
    <row r="124" spans="1:38" x14ac:dyDescent="0.3">
      <c r="A124" t="s">
        <v>37</v>
      </c>
      <c r="B124">
        <v>2016</v>
      </c>
      <c r="C124" t="s">
        <v>34</v>
      </c>
      <c r="D124" t="str">
        <f t="shared" si="9"/>
        <v>2016 - May</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c r="AF124">
        <f t="shared" si="8"/>
        <v>1868.1000000000001</v>
      </c>
      <c r="AG124">
        <f t="shared" si="10"/>
        <v>390.4</v>
      </c>
      <c r="AH124">
        <f t="shared" si="11"/>
        <v>374.7</v>
      </c>
      <c r="AI124">
        <f t="shared" si="12"/>
        <v>242.9</v>
      </c>
      <c r="AJ124">
        <f t="shared" si="13"/>
        <v>112.8</v>
      </c>
      <c r="AK124">
        <f t="shared" si="14"/>
        <v>121.5</v>
      </c>
      <c r="AL124">
        <f t="shared" si="15"/>
        <v>128.5</v>
      </c>
    </row>
    <row r="125" spans="1:38" x14ac:dyDescent="0.3">
      <c r="A125" t="s">
        <v>33</v>
      </c>
      <c r="B125">
        <v>2016</v>
      </c>
      <c r="C125" t="s">
        <v>47</v>
      </c>
      <c r="D125" t="str">
        <f t="shared" si="9"/>
        <v>2016 - June</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t="s">
        <v>43</v>
      </c>
      <c r="W125">
        <v>128</v>
      </c>
      <c r="X125">
        <v>129.30000000000001</v>
      </c>
      <c r="Y125">
        <v>126.2</v>
      </c>
      <c r="Z125">
        <v>116.3</v>
      </c>
      <c r="AA125">
        <v>124.1</v>
      </c>
      <c r="AB125">
        <v>130.19999999999999</v>
      </c>
      <c r="AC125">
        <v>119.9</v>
      </c>
      <c r="AD125">
        <v>123.3</v>
      </c>
      <c r="AE125">
        <v>131.9</v>
      </c>
      <c r="AF125">
        <f t="shared" si="8"/>
        <v>1885.8</v>
      </c>
      <c r="AG125">
        <f t="shared" si="10"/>
        <v>403.5</v>
      </c>
      <c r="AH125">
        <f t="shared" si="11"/>
        <v>257.3</v>
      </c>
      <c r="AI125">
        <f t="shared" si="12"/>
        <v>246.10000000000002</v>
      </c>
      <c r="AJ125">
        <f t="shared" si="13"/>
        <v>116.3</v>
      </c>
      <c r="AK125">
        <f t="shared" si="14"/>
        <v>124.1</v>
      </c>
      <c r="AL125">
        <f t="shared" si="15"/>
        <v>130.19999999999999</v>
      </c>
    </row>
    <row r="126" spans="1:38" x14ac:dyDescent="0.3">
      <c r="A126" t="s">
        <v>36</v>
      </c>
      <c r="B126">
        <v>2016</v>
      </c>
      <c r="C126" t="s">
        <v>47</v>
      </c>
      <c r="D126" t="str">
        <f t="shared" si="9"/>
        <v>2016 - June</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c r="AF126">
        <f t="shared" si="8"/>
        <v>1929.7000000000003</v>
      </c>
      <c r="AG126">
        <f t="shared" si="10"/>
        <v>375.29999999999995</v>
      </c>
      <c r="AH126">
        <f t="shared" si="11"/>
        <v>364.2</v>
      </c>
      <c r="AI126">
        <f t="shared" si="12"/>
        <v>239.39999999999998</v>
      </c>
      <c r="AJ126">
        <f t="shared" si="13"/>
        <v>112.3</v>
      </c>
      <c r="AK126">
        <f t="shared" si="14"/>
        <v>119.9</v>
      </c>
      <c r="AL126">
        <f t="shared" si="15"/>
        <v>129.30000000000001</v>
      </c>
    </row>
    <row r="127" spans="1:38" x14ac:dyDescent="0.3">
      <c r="A127" t="s">
        <v>37</v>
      </c>
      <c r="B127">
        <v>2016</v>
      </c>
      <c r="C127" t="s">
        <v>47</v>
      </c>
      <c r="D127" t="str">
        <f t="shared" si="9"/>
        <v>2016 - June</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c r="AF127">
        <f t="shared" si="8"/>
        <v>1899.3</v>
      </c>
      <c r="AG127">
        <f t="shared" si="10"/>
        <v>392.1</v>
      </c>
      <c r="AH127">
        <f t="shared" si="11"/>
        <v>375.20000000000005</v>
      </c>
      <c r="AI127">
        <f t="shared" si="12"/>
        <v>243.5</v>
      </c>
      <c r="AJ127">
        <f t="shared" si="13"/>
        <v>114.2</v>
      </c>
      <c r="AK127">
        <f t="shared" si="14"/>
        <v>121.7</v>
      </c>
      <c r="AL127">
        <f t="shared" si="15"/>
        <v>129.69999999999999</v>
      </c>
    </row>
    <row r="128" spans="1:38" x14ac:dyDescent="0.3">
      <c r="A128" t="s">
        <v>33</v>
      </c>
      <c r="B128">
        <v>2016</v>
      </c>
      <c r="C128" t="s">
        <v>48</v>
      </c>
      <c r="D128" t="str">
        <f t="shared" si="9"/>
        <v>2016 - July</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t="s">
        <v>43</v>
      </c>
      <c r="W128">
        <v>128.19999999999999</v>
      </c>
      <c r="X128">
        <v>130</v>
      </c>
      <c r="Y128">
        <v>126.7</v>
      </c>
      <c r="Z128">
        <v>116.4</v>
      </c>
      <c r="AA128">
        <v>125.2</v>
      </c>
      <c r="AB128">
        <v>130.80000000000001</v>
      </c>
      <c r="AC128">
        <v>120.9</v>
      </c>
      <c r="AD128">
        <v>123.8</v>
      </c>
      <c r="AE128">
        <v>133</v>
      </c>
      <c r="AF128">
        <f t="shared" si="8"/>
        <v>1908.2999999999997</v>
      </c>
      <c r="AG128">
        <f t="shared" si="10"/>
        <v>405.9</v>
      </c>
      <c r="AH128">
        <f t="shared" si="11"/>
        <v>258.2</v>
      </c>
      <c r="AI128">
        <f t="shared" si="12"/>
        <v>247.60000000000002</v>
      </c>
      <c r="AJ128">
        <f t="shared" si="13"/>
        <v>116.4</v>
      </c>
      <c r="AK128">
        <f t="shared" si="14"/>
        <v>125.2</v>
      </c>
      <c r="AL128">
        <f t="shared" si="15"/>
        <v>130.80000000000001</v>
      </c>
    </row>
    <row r="129" spans="1:38" x14ac:dyDescent="0.3">
      <c r="A129" t="s">
        <v>36</v>
      </c>
      <c r="B129">
        <v>2016</v>
      </c>
      <c r="C129" t="s">
        <v>48</v>
      </c>
      <c r="D129" t="str">
        <f t="shared" si="9"/>
        <v>2016 - July</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c r="AF129">
        <f t="shared" si="8"/>
        <v>1954.4000000000003</v>
      </c>
      <c r="AG129">
        <f t="shared" si="10"/>
        <v>375.9</v>
      </c>
      <c r="AH129">
        <f t="shared" si="11"/>
        <v>365.4</v>
      </c>
      <c r="AI129">
        <f t="shared" si="12"/>
        <v>240.9</v>
      </c>
      <c r="AJ129">
        <f t="shared" si="13"/>
        <v>111.7</v>
      </c>
      <c r="AK129">
        <f t="shared" si="14"/>
        <v>120.3</v>
      </c>
      <c r="AL129">
        <f t="shared" si="15"/>
        <v>130.80000000000001</v>
      </c>
    </row>
    <row r="130" spans="1:38" x14ac:dyDescent="0.3">
      <c r="A130" t="s">
        <v>37</v>
      </c>
      <c r="B130">
        <v>2016</v>
      </c>
      <c r="C130" t="s">
        <v>48</v>
      </c>
      <c r="D130" t="str">
        <f t="shared" si="9"/>
        <v>2016 - July</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c r="AF130">
        <f t="shared" ref="AF130:AF193" si="16">SUM(E130:R130)</f>
        <v>1922.8</v>
      </c>
      <c r="AG130">
        <f t="shared" si="10"/>
        <v>393.8</v>
      </c>
      <c r="AH130">
        <f t="shared" si="11"/>
        <v>376.70000000000005</v>
      </c>
      <c r="AI130">
        <f t="shared" si="12"/>
        <v>245</v>
      </c>
      <c r="AJ130">
        <f t="shared" si="13"/>
        <v>113.9</v>
      </c>
      <c r="AK130">
        <f t="shared" si="14"/>
        <v>122.4</v>
      </c>
      <c r="AL130">
        <f t="shared" si="15"/>
        <v>130.80000000000001</v>
      </c>
    </row>
    <row r="131" spans="1:38" x14ac:dyDescent="0.3">
      <c r="A131" t="s">
        <v>33</v>
      </c>
      <c r="B131">
        <v>2016</v>
      </c>
      <c r="C131" t="s">
        <v>49</v>
      </c>
      <c r="D131" t="str">
        <f t="shared" ref="D131:D194" si="17">B131 &amp; " - " &amp; C131</f>
        <v>2016 - August</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t="s">
        <v>43</v>
      </c>
      <c r="W131">
        <v>129.1</v>
      </c>
      <c r="X131">
        <v>130.6</v>
      </c>
      <c r="Y131">
        <v>127</v>
      </c>
      <c r="Z131">
        <v>116</v>
      </c>
      <c r="AA131">
        <v>125.5</v>
      </c>
      <c r="AB131">
        <v>131.9</v>
      </c>
      <c r="AC131">
        <v>122</v>
      </c>
      <c r="AD131">
        <v>124.2</v>
      </c>
      <c r="AE131">
        <v>133.5</v>
      </c>
      <c r="AF131">
        <f t="shared" si="16"/>
        <v>1916.3999999999999</v>
      </c>
      <c r="AG131">
        <f t="shared" ref="AG131:AG194" si="18">SUM(S131:U131)</f>
        <v>407.9</v>
      </c>
      <c r="AH131">
        <f t="shared" ref="AH131:AH194" si="19">SUM(V131:X131)</f>
        <v>259.7</v>
      </c>
      <c r="AI131">
        <f t="shared" ref="AI131:AI194" si="20">SUM(Y131,AC131)</f>
        <v>249</v>
      </c>
      <c r="AJ131">
        <f t="shared" ref="AJ131:AJ194" si="21">SUM(Z131)</f>
        <v>116</v>
      </c>
      <c r="AK131">
        <f t="shared" ref="AK131:AK194" si="22">SUM(AA131)</f>
        <v>125.5</v>
      </c>
      <c r="AL131">
        <f t="shared" ref="AL131:AL194" si="23">SUM(AB131)</f>
        <v>131.9</v>
      </c>
    </row>
    <row r="132" spans="1:38" x14ac:dyDescent="0.3">
      <c r="A132" t="s">
        <v>36</v>
      </c>
      <c r="B132">
        <v>2016</v>
      </c>
      <c r="C132" t="s">
        <v>49</v>
      </c>
      <c r="D132" t="str">
        <f t="shared" si="17"/>
        <v>2016 - August</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c r="AF132">
        <f t="shared" si="16"/>
        <v>1927.5999999999995</v>
      </c>
      <c r="AG132">
        <f t="shared" si="18"/>
        <v>377</v>
      </c>
      <c r="AH132">
        <f t="shared" si="19"/>
        <v>365.9</v>
      </c>
      <c r="AI132">
        <f t="shared" si="20"/>
        <v>242.10000000000002</v>
      </c>
      <c r="AJ132">
        <f t="shared" si="21"/>
        <v>110.4</v>
      </c>
      <c r="AK132">
        <f t="shared" si="22"/>
        <v>120.6</v>
      </c>
      <c r="AL132">
        <f t="shared" si="23"/>
        <v>131.5</v>
      </c>
    </row>
    <row r="133" spans="1:38" x14ac:dyDescent="0.3">
      <c r="A133" t="s">
        <v>37</v>
      </c>
      <c r="B133">
        <v>2016</v>
      </c>
      <c r="C133" t="s">
        <v>49</v>
      </c>
      <c r="D133" t="str">
        <f t="shared" si="17"/>
        <v>2016 - August</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c r="AF133">
        <f t="shared" si="16"/>
        <v>1918.1000000000001</v>
      </c>
      <c r="AG133">
        <f t="shared" si="18"/>
        <v>395.49999999999994</v>
      </c>
      <c r="AH133">
        <f t="shared" si="19"/>
        <v>378.29999999999995</v>
      </c>
      <c r="AI133">
        <f t="shared" si="20"/>
        <v>246.3</v>
      </c>
      <c r="AJ133">
        <f t="shared" si="21"/>
        <v>113.1</v>
      </c>
      <c r="AK133">
        <f t="shared" si="22"/>
        <v>122.7</v>
      </c>
      <c r="AL133">
        <f t="shared" si="23"/>
        <v>131.69999999999999</v>
      </c>
    </row>
    <row r="134" spans="1:38" x14ac:dyDescent="0.3">
      <c r="A134" t="s">
        <v>33</v>
      </c>
      <c r="B134">
        <v>2016</v>
      </c>
      <c r="C134" t="s">
        <v>50</v>
      </c>
      <c r="D134" t="str">
        <f t="shared" si="17"/>
        <v>2016 - September</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t="s">
        <v>43</v>
      </c>
      <c r="W134">
        <v>129.69999999999999</v>
      </c>
      <c r="X134">
        <v>131.1</v>
      </c>
      <c r="Y134">
        <v>127.8</v>
      </c>
      <c r="Z134">
        <v>117</v>
      </c>
      <c r="AA134">
        <v>125.7</v>
      </c>
      <c r="AB134">
        <v>132.19999999999999</v>
      </c>
      <c r="AC134">
        <v>122.8</v>
      </c>
      <c r="AD134">
        <v>124.9</v>
      </c>
      <c r="AE134">
        <v>133.4</v>
      </c>
      <c r="AF134">
        <f t="shared" si="16"/>
        <v>1910.6000000000001</v>
      </c>
      <c r="AG134">
        <f t="shared" si="18"/>
        <v>409.8</v>
      </c>
      <c r="AH134">
        <f t="shared" si="19"/>
        <v>260.79999999999995</v>
      </c>
      <c r="AI134">
        <f t="shared" si="20"/>
        <v>250.6</v>
      </c>
      <c r="AJ134">
        <f t="shared" si="21"/>
        <v>117</v>
      </c>
      <c r="AK134">
        <f t="shared" si="22"/>
        <v>125.7</v>
      </c>
      <c r="AL134">
        <f t="shared" si="23"/>
        <v>132.19999999999999</v>
      </c>
    </row>
    <row r="135" spans="1:38" x14ac:dyDescent="0.3">
      <c r="A135" t="s">
        <v>36</v>
      </c>
      <c r="B135">
        <v>2016</v>
      </c>
      <c r="C135" t="s">
        <v>50</v>
      </c>
      <c r="D135" t="str">
        <f t="shared" si="17"/>
        <v>2016 - September</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c r="AF135">
        <f t="shared" si="16"/>
        <v>1900.2999999999997</v>
      </c>
      <c r="AG135">
        <f t="shared" si="18"/>
        <v>378</v>
      </c>
      <c r="AH135">
        <f t="shared" si="19"/>
        <v>367</v>
      </c>
      <c r="AI135">
        <f t="shared" si="20"/>
        <v>242.60000000000002</v>
      </c>
      <c r="AJ135">
        <f t="shared" si="21"/>
        <v>111.8</v>
      </c>
      <c r="AK135">
        <f t="shared" si="22"/>
        <v>120.8</v>
      </c>
      <c r="AL135">
        <f t="shared" si="23"/>
        <v>131.6</v>
      </c>
    </row>
    <row r="136" spans="1:38" x14ac:dyDescent="0.3">
      <c r="A136" t="s">
        <v>37</v>
      </c>
      <c r="B136">
        <v>2016</v>
      </c>
      <c r="C136" t="s">
        <v>50</v>
      </c>
      <c r="D136" t="str">
        <f t="shared" si="17"/>
        <v>2016 - September</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c r="AF136">
        <f t="shared" si="16"/>
        <v>1904.6999999999998</v>
      </c>
      <c r="AG136">
        <f t="shared" si="18"/>
        <v>397</v>
      </c>
      <c r="AH136">
        <f t="shared" si="19"/>
        <v>379.9</v>
      </c>
      <c r="AI136">
        <f t="shared" si="20"/>
        <v>247.5</v>
      </c>
      <c r="AJ136">
        <f t="shared" si="21"/>
        <v>114.3</v>
      </c>
      <c r="AK136">
        <f t="shared" si="22"/>
        <v>122.9</v>
      </c>
      <c r="AL136">
        <f t="shared" si="23"/>
        <v>131.80000000000001</v>
      </c>
    </row>
    <row r="137" spans="1:38" x14ac:dyDescent="0.3">
      <c r="A137" t="s">
        <v>33</v>
      </c>
      <c r="B137">
        <v>2016</v>
      </c>
      <c r="C137" t="s">
        <v>51</v>
      </c>
      <c r="D137" t="str">
        <f t="shared" si="17"/>
        <v>2016 - October</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t="s">
        <v>43</v>
      </c>
      <c r="W137">
        <v>129.80000000000001</v>
      </c>
      <c r="X137">
        <v>131.80000000000001</v>
      </c>
      <c r="Y137">
        <v>128.69999999999999</v>
      </c>
      <c r="Z137">
        <v>117.8</v>
      </c>
      <c r="AA137">
        <v>126.5</v>
      </c>
      <c r="AB137">
        <v>133</v>
      </c>
      <c r="AC137">
        <v>123</v>
      </c>
      <c r="AD137">
        <v>125.7</v>
      </c>
      <c r="AE137">
        <v>133.80000000000001</v>
      </c>
      <c r="AF137">
        <f t="shared" si="16"/>
        <v>1912.7000000000003</v>
      </c>
      <c r="AG137">
        <f t="shared" si="18"/>
        <v>412.7</v>
      </c>
      <c r="AH137">
        <f t="shared" si="19"/>
        <v>261.60000000000002</v>
      </c>
      <c r="AI137">
        <f t="shared" si="20"/>
        <v>251.7</v>
      </c>
      <c r="AJ137">
        <f t="shared" si="21"/>
        <v>117.8</v>
      </c>
      <c r="AK137">
        <f t="shared" si="22"/>
        <v>126.5</v>
      </c>
      <c r="AL137">
        <f t="shared" si="23"/>
        <v>133</v>
      </c>
    </row>
    <row r="138" spans="1:38" x14ac:dyDescent="0.3">
      <c r="A138" t="s">
        <v>36</v>
      </c>
      <c r="B138">
        <v>2016</v>
      </c>
      <c r="C138" t="s">
        <v>51</v>
      </c>
      <c r="D138" t="str">
        <f t="shared" si="17"/>
        <v>2016 - October</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c r="AF138">
        <f t="shared" si="16"/>
        <v>1907.1999999999998</v>
      </c>
      <c r="AG138">
        <f t="shared" si="18"/>
        <v>379</v>
      </c>
      <c r="AH138">
        <f t="shared" si="19"/>
        <v>368.4</v>
      </c>
      <c r="AI138">
        <f t="shared" si="20"/>
        <v>242.6</v>
      </c>
      <c r="AJ138">
        <f t="shared" si="21"/>
        <v>112.8</v>
      </c>
      <c r="AK138">
        <f t="shared" si="22"/>
        <v>121.2</v>
      </c>
      <c r="AL138">
        <f t="shared" si="23"/>
        <v>131.9</v>
      </c>
    </row>
    <row r="139" spans="1:38" x14ac:dyDescent="0.3">
      <c r="A139" t="s">
        <v>37</v>
      </c>
      <c r="B139">
        <v>2016</v>
      </c>
      <c r="C139" t="s">
        <v>51</v>
      </c>
      <c r="D139" t="str">
        <f t="shared" si="17"/>
        <v>2016 - October</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c r="AF139">
        <f t="shared" si="16"/>
        <v>1908.5999999999995</v>
      </c>
      <c r="AG139">
        <f t="shared" si="18"/>
        <v>399.1</v>
      </c>
      <c r="AH139">
        <f t="shared" si="19"/>
        <v>381.4</v>
      </c>
      <c r="AI139">
        <f t="shared" si="20"/>
        <v>248.2</v>
      </c>
      <c r="AJ139">
        <f t="shared" si="21"/>
        <v>115.2</v>
      </c>
      <c r="AK139">
        <f t="shared" si="22"/>
        <v>123.5</v>
      </c>
      <c r="AL139">
        <f t="shared" si="23"/>
        <v>132.4</v>
      </c>
    </row>
    <row r="140" spans="1:38" x14ac:dyDescent="0.3">
      <c r="A140" t="s">
        <v>33</v>
      </c>
      <c r="B140">
        <v>2016</v>
      </c>
      <c r="C140" t="s">
        <v>53</v>
      </c>
      <c r="D140" t="str">
        <f t="shared" si="17"/>
        <v>2016 - November</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t="s">
        <v>43</v>
      </c>
      <c r="W140">
        <v>130.30000000000001</v>
      </c>
      <c r="X140">
        <v>132.1</v>
      </c>
      <c r="Y140">
        <v>129.1</v>
      </c>
      <c r="Z140">
        <v>118.2</v>
      </c>
      <c r="AA140">
        <v>126.9</v>
      </c>
      <c r="AB140">
        <v>133.69999999999999</v>
      </c>
      <c r="AC140">
        <v>123.5</v>
      </c>
      <c r="AD140">
        <v>126.1</v>
      </c>
      <c r="AE140">
        <v>133.6</v>
      </c>
      <c r="AF140">
        <f t="shared" si="16"/>
        <v>1905.8</v>
      </c>
      <c r="AG140">
        <f t="shared" si="18"/>
        <v>413.59999999999997</v>
      </c>
      <c r="AH140">
        <f t="shared" si="19"/>
        <v>262.39999999999998</v>
      </c>
      <c r="AI140">
        <f t="shared" si="20"/>
        <v>252.6</v>
      </c>
      <c r="AJ140">
        <f t="shared" si="21"/>
        <v>118.2</v>
      </c>
      <c r="AK140">
        <f t="shared" si="22"/>
        <v>126.9</v>
      </c>
      <c r="AL140">
        <f t="shared" si="23"/>
        <v>133.69999999999999</v>
      </c>
    </row>
    <row r="141" spans="1:38" x14ac:dyDescent="0.3">
      <c r="A141" t="s">
        <v>36</v>
      </c>
      <c r="B141">
        <v>2016</v>
      </c>
      <c r="C141" t="s">
        <v>53</v>
      </c>
      <c r="D141" t="str">
        <f t="shared" si="17"/>
        <v>2016 - November</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c r="AF141">
        <f t="shared" si="16"/>
        <v>1899.5</v>
      </c>
      <c r="AG141">
        <f t="shared" si="18"/>
        <v>380.2</v>
      </c>
      <c r="AH141">
        <f t="shared" si="19"/>
        <v>370</v>
      </c>
      <c r="AI141">
        <f t="shared" si="20"/>
        <v>243.39999999999998</v>
      </c>
      <c r="AJ141">
        <f t="shared" si="21"/>
        <v>113.4</v>
      </c>
      <c r="AK141">
        <f t="shared" si="22"/>
        <v>121.7</v>
      </c>
      <c r="AL141">
        <f t="shared" si="23"/>
        <v>132.1</v>
      </c>
    </row>
    <row r="142" spans="1:38" x14ac:dyDescent="0.3">
      <c r="A142" t="s">
        <v>37</v>
      </c>
      <c r="B142">
        <v>2016</v>
      </c>
      <c r="C142" t="s">
        <v>53</v>
      </c>
      <c r="D142" t="str">
        <f t="shared" si="17"/>
        <v>2016 - November</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c r="AF142">
        <f t="shared" si="16"/>
        <v>1901.8</v>
      </c>
      <c r="AG142">
        <f t="shared" si="18"/>
        <v>400.1</v>
      </c>
      <c r="AH142">
        <f t="shared" si="19"/>
        <v>382.7</v>
      </c>
      <c r="AI142">
        <f t="shared" si="20"/>
        <v>249</v>
      </c>
      <c r="AJ142">
        <f t="shared" si="21"/>
        <v>115.7</v>
      </c>
      <c r="AK142">
        <f t="shared" si="22"/>
        <v>124</v>
      </c>
      <c r="AL142">
        <f t="shared" si="23"/>
        <v>132.80000000000001</v>
      </c>
    </row>
    <row r="143" spans="1:38" x14ac:dyDescent="0.3">
      <c r="A143" t="s">
        <v>33</v>
      </c>
      <c r="B143">
        <v>2016</v>
      </c>
      <c r="C143" t="s">
        <v>54</v>
      </c>
      <c r="D143" t="str">
        <f t="shared" si="17"/>
        <v>2016 - December</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t="s">
        <v>43</v>
      </c>
      <c r="W143">
        <v>132</v>
      </c>
      <c r="X143">
        <v>132.9</v>
      </c>
      <c r="Y143">
        <v>129.69999999999999</v>
      </c>
      <c r="Z143">
        <v>118.6</v>
      </c>
      <c r="AA143">
        <v>127.3</v>
      </c>
      <c r="AB143">
        <v>134.19999999999999</v>
      </c>
      <c r="AC143">
        <v>121.9</v>
      </c>
      <c r="AD143">
        <v>126.3</v>
      </c>
      <c r="AE143">
        <v>132.80000000000001</v>
      </c>
      <c r="AF143">
        <f t="shared" si="16"/>
        <v>1891.5</v>
      </c>
      <c r="AG143">
        <f t="shared" si="18"/>
        <v>415.3</v>
      </c>
      <c r="AH143">
        <f t="shared" si="19"/>
        <v>264.89999999999998</v>
      </c>
      <c r="AI143">
        <f t="shared" si="20"/>
        <v>251.6</v>
      </c>
      <c r="AJ143">
        <f t="shared" si="21"/>
        <v>118.6</v>
      </c>
      <c r="AK143">
        <f t="shared" si="22"/>
        <v>127.3</v>
      </c>
      <c r="AL143">
        <f t="shared" si="23"/>
        <v>134.19999999999999</v>
      </c>
    </row>
    <row r="144" spans="1:38" x14ac:dyDescent="0.3">
      <c r="A144" t="s">
        <v>36</v>
      </c>
      <c r="B144">
        <v>2016</v>
      </c>
      <c r="C144" t="s">
        <v>54</v>
      </c>
      <c r="D144" t="str">
        <f t="shared" si="17"/>
        <v>2016 - December</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c r="AF144">
        <f t="shared" si="16"/>
        <v>1874.8</v>
      </c>
      <c r="AG144">
        <f t="shared" si="18"/>
        <v>381</v>
      </c>
      <c r="AH144">
        <f t="shared" si="19"/>
        <v>371.3</v>
      </c>
      <c r="AI144">
        <f t="shared" si="20"/>
        <v>242.2</v>
      </c>
      <c r="AJ144">
        <f t="shared" si="21"/>
        <v>113.7</v>
      </c>
      <c r="AK144">
        <f t="shared" si="22"/>
        <v>121.8</v>
      </c>
      <c r="AL144">
        <f t="shared" si="23"/>
        <v>132.30000000000001</v>
      </c>
    </row>
    <row r="145" spans="1:38" x14ac:dyDescent="0.3">
      <c r="A145" t="s">
        <v>37</v>
      </c>
      <c r="B145">
        <v>2016</v>
      </c>
      <c r="C145" t="s">
        <v>54</v>
      </c>
      <c r="D145" t="str">
        <f t="shared" si="17"/>
        <v>2016 - December</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c r="AF145">
        <f t="shared" si="16"/>
        <v>1883.8</v>
      </c>
      <c r="AG145">
        <f t="shared" si="18"/>
        <v>401.5</v>
      </c>
      <c r="AH145">
        <f t="shared" si="19"/>
        <v>384.29999999999995</v>
      </c>
      <c r="AI145">
        <f t="shared" si="20"/>
        <v>248</v>
      </c>
      <c r="AJ145">
        <f t="shared" si="21"/>
        <v>116</v>
      </c>
      <c r="AK145">
        <f t="shared" si="22"/>
        <v>124.2</v>
      </c>
      <c r="AL145">
        <f t="shared" si="23"/>
        <v>133.1</v>
      </c>
    </row>
    <row r="146" spans="1:38" x14ac:dyDescent="0.3">
      <c r="A146" t="s">
        <v>33</v>
      </c>
      <c r="B146">
        <v>2017</v>
      </c>
      <c r="C146" t="s">
        <v>42</v>
      </c>
      <c r="D146" t="str">
        <f t="shared" si="17"/>
        <v>2017 - January</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t="s">
        <v>43</v>
      </c>
      <c r="W146">
        <v>132.1</v>
      </c>
      <c r="X146">
        <v>133.19999999999999</v>
      </c>
      <c r="Y146">
        <v>129.9</v>
      </c>
      <c r="Z146">
        <v>119.1</v>
      </c>
      <c r="AA146">
        <v>127</v>
      </c>
      <c r="AB146">
        <v>134.6</v>
      </c>
      <c r="AC146">
        <v>122.3</v>
      </c>
      <c r="AD146">
        <v>126.6</v>
      </c>
      <c r="AE146">
        <v>132.4</v>
      </c>
      <c r="AF146">
        <f t="shared" si="16"/>
        <v>1880.4</v>
      </c>
      <c r="AG146">
        <f t="shared" si="18"/>
        <v>416.5</v>
      </c>
      <c r="AH146">
        <f t="shared" si="19"/>
        <v>265.29999999999995</v>
      </c>
      <c r="AI146">
        <f t="shared" si="20"/>
        <v>252.2</v>
      </c>
      <c r="AJ146">
        <f t="shared" si="21"/>
        <v>119.1</v>
      </c>
      <c r="AK146">
        <f t="shared" si="22"/>
        <v>127</v>
      </c>
      <c r="AL146">
        <f t="shared" si="23"/>
        <v>134.6</v>
      </c>
    </row>
    <row r="147" spans="1:38" x14ac:dyDescent="0.3">
      <c r="A147" t="s">
        <v>36</v>
      </c>
      <c r="B147">
        <v>2017</v>
      </c>
      <c r="C147" t="s">
        <v>42</v>
      </c>
      <c r="D147" t="str">
        <f t="shared" si="17"/>
        <v>2017 - January</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c r="AF147">
        <f t="shared" si="16"/>
        <v>1858.8</v>
      </c>
      <c r="AG147">
        <f t="shared" si="18"/>
        <v>381.5</v>
      </c>
      <c r="AH147">
        <f t="shared" si="19"/>
        <v>372.7</v>
      </c>
      <c r="AI147">
        <f t="shared" si="20"/>
        <v>243.5</v>
      </c>
      <c r="AJ147">
        <f t="shared" si="21"/>
        <v>115.2</v>
      </c>
      <c r="AK147">
        <f t="shared" si="22"/>
        <v>122</v>
      </c>
      <c r="AL147">
        <f t="shared" si="23"/>
        <v>132.4</v>
      </c>
    </row>
    <row r="148" spans="1:38" x14ac:dyDescent="0.3">
      <c r="A148" t="s">
        <v>37</v>
      </c>
      <c r="B148">
        <v>2017</v>
      </c>
      <c r="C148" t="s">
        <v>42</v>
      </c>
      <c r="D148" t="str">
        <f t="shared" si="17"/>
        <v>2017 - January</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c r="AF148">
        <f t="shared" si="16"/>
        <v>1871.0999999999995</v>
      </c>
      <c r="AG148">
        <f t="shared" si="18"/>
        <v>402.4</v>
      </c>
      <c r="AH148">
        <f t="shared" si="19"/>
        <v>385.79999999999995</v>
      </c>
      <c r="AI148">
        <f t="shared" si="20"/>
        <v>248.8</v>
      </c>
      <c r="AJ148">
        <f t="shared" si="21"/>
        <v>117</v>
      </c>
      <c r="AK148">
        <f t="shared" si="22"/>
        <v>124.2</v>
      </c>
      <c r="AL148">
        <f t="shared" si="23"/>
        <v>133.30000000000001</v>
      </c>
    </row>
    <row r="149" spans="1:38" x14ac:dyDescent="0.3">
      <c r="A149" t="s">
        <v>33</v>
      </c>
      <c r="B149">
        <v>2017</v>
      </c>
      <c r="C149" t="s">
        <v>44</v>
      </c>
      <c r="D149" t="str">
        <f t="shared" si="17"/>
        <v>2017 - February</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t="s">
        <v>43</v>
      </c>
      <c r="W149">
        <v>133.19999999999999</v>
      </c>
      <c r="X149">
        <v>133.6</v>
      </c>
      <c r="Y149">
        <v>130.1</v>
      </c>
      <c r="Z149">
        <v>119.5</v>
      </c>
      <c r="AA149">
        <v>127.7</v>
      </c>
      <c r="AB149">
        <v>134.9</v>
      </c>
      <c r="AC149">
        <v>123.2</v>
      </c>
      <c r="AD149">
        <v>127</v>
      </c>
      <c r="AE149">
        <v>132.6</v>
      </c>
      <c r="AF149">
        <f t="shared" si="16"/>
        <v>1878.2000000000003</v>
      </c>
      <c r="AG149">
        <f t="shared" si="18"/>
        <v>416.90000000000003</v>
      </c>
      <c r="AH149">
        <f t="shared" si="19"/>
        <v>266.79999999999995</v>
      </c>
      <c r="AI149">
        <f t="shared" si="20"/>
        <v>253.3</v>
      </c>
      <c r="AJ149">
        <f t="shared" si="21"/>
        <v>119.5</v>
      </c>
      <c r="AK149">
        <f t="shared" si="22"/>
        <v>127.7</v>
      </c>
      <c r="AL149">
        <f t="shared" si="23"/>
        <v>134.9</v>
      </c>
    </row>
    <row r="150" spans="1:38" x14ac:dyDescent="0.3">
      <c r="A150" t="s">
        <v>36</v>
      </c>
      <c r="B150">
        <v>2017</v>
      </c>
      <c r="C150" t="s">
        <v>44</v>
      </c>
      <c r="D150" t="str">
        <f t="shared" si="17"/>
        <v>2017 - February</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c r="AF150">
        <f t="shared" si="16"/>
        <v>1851.6000000000001</v>
      </c>
      <c r="AG150">
        <f t="shared" si="18"/>
        <v>382.3</v>
      </c>
      <c r="AH150">
        <f t="shared" si="19"/>
        <v>375</v>
      </c>
      <c r="AI150">
        <f t="shared" si="20"/>
        <v>244.60000000000002</v>
      </c>
      <c r="AJ150">
        <f t="shared" si="21"/>
        <v>115.5</v>
      </c>
      <c r="AK150">
        <f t="shared" si="22"/>
        <v>122.2</v>
      </c>
      <c r="AL150">
        <f t="shared" si="23"/>
        <v>132.4</v>
      </c>
    </row>
    <row r="151" spans="1:38" x14ac:dyDescent="0.3">
      <c r="A151" t="s">
        <v>37</v>
      </c>
      <c r="B151">
        <v>2017</v>
      </c>
      <c r="C151" t="s">
        <v>44</v>
      </c>
      <c r="D151" t="str">
        <f t="shared" si="17"/>
        <v>2017 - February</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c r="AF151">
        <f t="shared" si="16"/>
        <v>1866.7000000000003</v>
      </c>
      <c r="AG151">
        <f t="shared" si="18"/>
        <v>403</v>
      </c>
      <c r="AH151">
        <f t="shared" si="19"/>
        <v>388.09999999999997</v>
      </c>
      <c r="AI151">
        <f t="shared" si="20"/>
        <v>250</v>
      </c>
      <c r="AJ151">
        <f t="shared" si="21"/>
        <v>117.4</v>
      </c>
      <c r="AK151">
        <f t="shared" si="22"/>
        <v>124.6</v>
      </c>
      <c r="AL151">
        <f t="shared" si="23"/>
        <v>133.4</v>
      </c>
    </row>
    <row r="152" spans="1:38" x14ac:dyDescent="0.3">
      <c r="A152" t="s">
        <v>33</v>
      </c>
      <c r="B152">
        <v>2017</v>
      </c>
      <c r="C152" t="s">
        <v>45</v>
      </c>
      <c r="D152" t="str">
        <f t="shared" si="17"/>
        <v>2017 - March</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t="s">
        <v>43</v>
      </c>
      <c r="W152">
        <v>134.19999999999999</v>
      </c>
      <c r="X152">
        <v>134.1</v>
      </c>
      <c r="Y152">
        <v>130.6</v>
      </c>
      <c r="Z152">
        <v>119.8</v>
      </c>
      <c r="AA152">
        <v>128.30000000000001</v>
      </c>
      <c r="AB152">
        <v>135.19999999999999</v>
      </c>
      <c r="AC152">
        <v>123.3</v>
      </c>
      <c r="AD152">
        <v>127.4</v>
      </c>
      <c r="AE152">
        <v>132.80000000000001</v>
      </c>
      <c r="AF152">
        <f t="shared" si="16"/>
        <v>1872.7000000000003</v>
      </c>
      <c r="AG152">
        <f t="shared" si="18"/>
        <v>418.59999999999997</v>
      </c>
      <c r="AH152">
        <f t="shared" si="19"/>
        <v>268.29999999999995</v>
      </c>
      <c r="AI152">
        <f t="shared" si="20"/>
        <v>253.89999999999998</v>
      </c>
      <c r="AJ152">
        <f t="shared" si="21"/>
        <v>119.8</v>
      </c>
      <c r="AK152">
        <f t="shared" si="22"/>
        <v>128.30000000000001</v>
      </c>
      <c r="AL152">
        <f t="shared" si="23"/>
        <v>135.19999999999999</v>
      </c>
    </row>
    <row r="153" spans="1:38" x14ac:dyDescent="0.3">
      <c r="A153" t="s">
        <v>36</v>
      </c>
      <c r="B153">
        <v>2017</v>
      </c>
      <c r="C153" t="s">
        <v>45</v>
      </c>
      <c r="D153" t="str">
        <f t="shared" si="17"/>
        <v>2017 - March</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c r="AF153">
        <f t="shared" si="16"/>
        <v>1853.1999999999998</v>
      </c>
      <c r="AG153">
        <f t="shared" si="18"/>
        <v>383.20000000000005</v>
      </c>
      <c r="AH153">
        <f t="shared" si="19"/>
        <v>377.5</v>
      </c>
      <c r="AI153">
        <f t="shared" si="20"/>
        <v>244.8</v>
      </c>
      <c r="AJ153">
        <f t="shared" si="21"/>
        <v>115.6</v>
      </c>
      <c r="AK153">
        <f t="shared" si="22"/>
        <v>122.4</v>
      </c>
      <c r="AL153">
        <f t="shared" si="23"/>
        <v>132.80000000000001</v>
      </c>
    </row>
    <row r="154" spans="1:38" x14ac:dyDescent="0.3">
      <c r="A154" t="s">
        <v>37</v>
      </c>
      <c r="B154">
        <v>2017</v>
      </c>
      <c r="C154" t="s">
        <v>45</v>
      </c>
      <c r="D154" t="str">
        <f t="shared" si="17"/>
        <v>2017 - March</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c r="AF154">
        <f t="shared" si="16"/>
        <v>1864</v>
      </c>
      <c r="AG154">
        <f t="shared" si="18"/>
        <v>404.29999999999995</v>
      </c>
      <c r="AH154">
        <f t="shared" si="19"/>
        <v>390.29999999999995</v>
      </c>
      <c r="AI154">
        <f t="shared" si="20"/>
        <v>250.39999999999998</v>
      </c>
      <c r="AJ154">
        <f t="shared" si="21"/>
        <v>117.6</v>
      </c>
      <c r="AK154">
        <f t="shared" si="22"/>
        <v>125</v>
      </c>
      <c r="AL154">
        <f t="shared" si="23"/>
        <v>133.80000000000001</v>
      </c>
    </row>
    <row r="155" spans="1:38" x14ac:dyDescent="0.3">
      <c r="A155" t="s">
        <v>33</v>
      </c>
      <c r="B155">
        <v>2017</v>
      </c>
      <c r="C155" t="s">
        <v>46</v>
      </c>
      <c r="D155" t="str">
        <f t="shared" si="17"/>
        <v>2017 - April</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t="s">
        <v>43</v>
      </c>
      <c r="W155">
        <v>135</v>
      </c>
      <c r="X155">
        <v>134.30000000000001</v>
      </c>
      <c r="Y155">
        <v>131</v>
      </c>
      <c r="Z155">
        <v>119.2</v>
      </c>
      <c r="AA155">
        <v>128.30000000000001</v>
      </c>
      <c r="AB155">
        <v>135.69999999999999</v>
      </c>
      <c r="AC155">
        <v>123.7</v>
      </c>
      <c r="AD155">
        <v>127.5</v>
      </c>
      <c r="AE155">
        <v>132.9</v>
      </c>
      <c r="AF155">
        <f t="shared" si="16"/>
        <v>1870.7</v>
      </c>
      <c r="AG155">
        <f t="shared" si="18"/>
        <v>420.80000000000007</v>
      </c>
      <c r="AH155">
        <f t="shared" si="19"/>
        <v>269.3</v>
      </c>
      <c r="AI155">
        <f t="shared" si="20"/>
        <v>254.7</v>
      </c>
      <c r="AJ155">
        <f t="shared" si="21"/>
        <v>119.2</v>
      </c>
      <c r="AK155">
        <f t="shared" si="22"/>
        <v>128.30000000000001</v>
      </c>
      <c r="AL155">
        <f t="shared" si="23"/>
        <v>135.69999999999999</v>
      </c>
    </row>
    <row r="156" spans="1:38" x14ac:dyDescent="0.3">
      <c r="A156" t="s">
        <v>36</v>
      </c>
      <c r="B156">
        <v>2017</v>
      </c>
      <c r="C156" t="s">
        <v>46</v>
      </c>
      <c r="D156" t="str">
        <f t="shared" si="17"/>
        <v>2017 - April</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c r="AF156">
        <f t="shared" si="16"/>
        <v>1856.1</v>
      </c>
      <c r="AG156">
        <f t="shared" si="18"/>
        <v>384.2</v>
      </c>
      <c r="AH156">
        <f t="shared" si="19"/>
        <v>379.1</v>
      </c>
      <c r="AI156">
        <f t="shared" si="20"/>
        <v>245.60000000000002</v>
      </c>
      <c r="AJ156">
        <f t="shared" si="21"/>
        <v>114.3</v>
      </c>
      <c r="AK156">
        <f t="shared" si="22"/>
        <v>122.6</v>
      </c>
      <c r="AL156">
        <f t="shared" si="23"/>
        <v>133.6</v>
      </c>
    </row>
    <row r="157" spans="1:38" x14ac:dyDescent="0.3">
      <c r="A157" t="s">
        <v>37</v>
      </c>
      <c r="B157">
        <v>2017</v>
      </c>
      <c r="C157" t="s">
        <v>46</v>
      </c>
      <c r="D157" t="str">
        <f t="shared" si="17"/>
        <v>2017 - April</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c r="AF157">
        <f t="shared" si="16"/>
        <v>1863.8000000000002</v>
      </c>
      <c r="AG157">
        <f t="shared" si="18"/>
        <v>406.1</v>
      </c>
      <c r="AH157">
        <f t="shared" si="19"/>
        <v>391.9</v>
      </c>
      <c r="AI157">
        <f t="shared" si="20"/>
        <v>251.2</v>
      </c>
      <c r="AJ157">
        <f t="shared" si="21"/>
        <v>116.6</v>
      </c>
      <c r="AK157">
        <f t="shared" si="22"/>
        <v>125.1</v>
      </c>
      <c r="AL157">
        <f t="shared" si="23"/>
        <v>134.5</v>
      </c>
    </row>
    <row r="158" spans="1:38" x14ac:dyDescent="0.3">
      <c r="A158" t="s">
        <v>33</v>
      </c>
      <c r="B158">
        <v>2017</v>
      </c>
      <c r="C158" t="s">
        <v>34</v>
      </c>
      <c r="D158" t="str">
        <f t="shared" si="17"/>
        <v>2017 - May</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t="s">
        <v>43</v>
      </c>
      <c r="W158">
        <v>135</v>
      </c>
      <c r="X158">
        <v>134.9</v>
      </c>
      <c r="Y158">
        <v>131.4</v>
      </c>
      <c r="Z158">
        <v>119.4</v>
      </c>
      <c r="AA158">
        <v>129.4</v>
      </c>
      <c r="AB158">
        <v>136.30000000000001</v>
      </c>
      <c r="AC158">
        <v>123.7</v>
      </c>
      <c r="AD158">
        <v>127.9</v>
      </c>
      <c r="AE158">
        <v>133.30000000000001</v>
      </c>
      <c r="AF158">
        <f t="shared" si="16"/>
        <v>1872.9999999999995</v>
      </c>
      <c r="AG158">
        <f t="shared" si="18"/>
        <v>421.6</v>
      </c>
      <c r="AH158">
        <f t="shared" si="19"/>
        <v>269.89999999999998</v>
      </c>
      <c r="AI158">
        <f t="shared" si="20"/>
        <v>255.10000000000002</v>
      </c>
      <c r="AJ158">
        <f t="shared" si="21"/>
        <v>119.4</v>
      </c>
      <c r="AK158">
        <f t="shared" si="22"/>
        <v>129.4</v>
      </c>
      <c r="AL158">
        <f t="shared" si="23"/>
        <v>136.30000000000001</v>
      </c>
    </row>
    <row r="159" spans="1:38" x14ac:dyDescent="0.3">
      <c r="A159" t="s">
        <v>36</v>
      </c>
      <c r="B159">
        <v>2017</v>
      </c>
      <c r="C159" t="s">
        <v>34</v>
      </c>
      <c r="D159" t="str">
        <f t="shared" si="17"/>
        <v>2017 - May</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c r="AF159">
        <f t="shared" si="16"/>
        <v>1857.8999999999999</v>
      </c>
      <c r="AG159">
        <f t="shared" si="18"/>
        <v>384.9</v>
      </c>
      <c r="AH159">
        <f t="shared" si="19"/>
        <v>378.7</v>
      </c>
      <c r="AI159">
        <f t="shared" si="20"/>
        <v>245.6</v>
      </c>
      <c r="AJ159">
        <f t="shared" si="21"/>
        <v>114.3</v>
      </c>
      <c r="AK159">
        <f t="shared" si="22"/>
        <v>122.8</v>
      </c>
      <c r="AL159">
        <f t="shared" si="23"/>
        <v>133.80000000000001</v>
      </c>
    </row>
    <row r="160" spans="1:38" x14ac:dyDescent="0.3">
      <c r="A160" t="s">
        <v>37</v>
      </c>
      <c r="B160">
        <v>2017</v>
      </c>
      <c r="C160" t="s">
        <v>34</v>
      </c>
      <c r="D160" t="str">
        <f t="shared" si="17"/>
        <v>2017 - May</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c r="AF160">
        <f t="shared" si="16"/>
        <v>1865.8000000000002</v>
      </c>
      <c r="AG160">
        <f t="shared" si="18"/>
        <v>406.8</v>
      </c>
      <c r="AH160">
        <f t="shared" si="19"/>
        <v>392.4</v>
      </c>
      <c r="AI160">
        <f t="shared" si="20"/>
        <v>251.4</v>
      </c>
      <c r="AJ160">
        <f t="shared" si="21"/>
        <v>116.7</v>
      </c>
      <c r="AK160">
        <f t="shared" si="22"/>
        <v>125.7</v>
      </c>
      <c r="AL160">
        <f t="shared" si="23"/>
        <v>134.80000000000001</v>
      </c>
    </row>
    <row r="161" spans="1:38" x14ac:dyDescent="0.3">
      <c r="A161" t="s">
        <v>33</v>
      </c>
      <c r="B161">
        <v>2017</v>
      </c>
      <c r="C161" t="s">
        <v>47</v>
      </c>
      <c r="D161" t="str">
        <f t="shared" si="17"/>
        <v>2017 - June</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t="s">
        <v>43</v>
      </c>
      <c r="W161">
        <v>134.80000000000001</v>
      </c>
      <c r="X161">
        <v>135.19999999999999</v>
      </c>
      <c r="Y161">
        <v>131.30000000000001</v>
      </c>
      <c r="Z161">
        <v>119.4</v>
      </c>
      <c r="AA161">
        <v>129.80000000000001</v>
      </c>
      <c r="AB161">
        <v>136.9</v>
      </c>
      <c r="AC161">
        <v>124.1</v>
      </c>
      <c r="AD161">
        <v>128.1</v>
      </c>
      <c r="AE161">
        <v>133.9</v>
      </c>
      <c r="AF161">
        <f t="shared" si="16"/>
        <v>1884.6000000000001</v>
      </c>
      <c r="AG161">
        <f t="shared" si="18"/>
        <v>423.09999999999997</v>
      </c>
      <c r="AH161">
        <f t="shared" si="19"/>
        <v>270</v>
      </c>
      <c r="AI161">
        <f t="shared" si="20"/>
        <v>255.4</v>
      </c>
      <c r="AJ161">
        <f t="shared" si="21"/>
        <v>119.4</v>
      </c>
      <c r="AK161">
        <f t="shared" si="22"/>
        <v>129.80000000000001</v>
      </c>
      <c r="AL161">
        <f t="shared" si="23"/>
        <v>136.9</v>
      </c>
    </row>
    <row r="162" spans="1:38" x14ac:dyDescent="0.3">
      <c r="A162" t="s">
        <v>36</v>
      </c>
      <c r="B162">
        <v>2017</v>
      </c>
      <c r="C162" t="s">
        <v>47</v>
      </c>
      <c r="D162" t="str">
        <f t="shared" si="17"/>
        <v>2017 - June</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c r="AF162">
        <f t="shared" si="16"/>
        <v>1879.6000000000001</v>
      </c>
      <c r="AG162">
        <f t="shared" si="18"/>
        <v>384.9</v>
      </c>
      <c r="AH162">
        <f t="shared" si="19"/>
        <v>377.2</v>
      </c>
      <c r="AI162">
        <f t="shared" si="20"/>
        <v>246.3</v>
      </c>
      <c r="AJ162">
        <f t="shared" si="21"/>
        <v>113.9</v>
      </c>
      <c r="AK162">
        <f t="shared" si="22"/>
        <v>122.9</v>
      </c>
      <c r="AL162">
        <f t="shared" si="23"/>
        <v>134.30000000000001</v>
      </c>
    </row>
    <row r="163" spans="1:38" x14ac:dyDescent="0.3">
      <c r="A163" t="s">
        <v>37</v>
      </c>
      <c r="B163">
        <v>2017</v>
      </c>
      <c r="C163" t="s">
        <v>47</v>
      </c>
      <c r="D163" t="str">
        <f t="shared" si="17"/>
        <v>2017 - June</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c r="AF163">
        <f t="shared" si="16"/>
        <v>1881.2</v>
      </c>
      <c r="AG163">
        <f t="shared" si="18"/>
        <v>407.7</v>
      </c>
      <c r="AH163">
        <f t="shared" si="19"/>
        <v>391.40000000000003</v>
      </c>
      <c r="AI163">
        <f t="shared" si="20"/>
        <v>251.9</v>
      </c>
      <c r="AJ163">
        <f t="shared" si="21"/>
        <v>116.5</v>
      </c>
      <c r="AK163">
        <f t="shared" si="22"/>
        <v>125.9</v>
      </c>
      <c r="AL163">
        <f t="shared" si="23"/>
        <v>135.4</v>
      </c>
    </row>
    <row r="164" spans="1:38" x14ac:dyDescent="0.3">
      <c r="A164" t="s">
        <v>33</v>
      </c>
      <c r="B164">
        <v>2017</v>
      </c>
      <c r="C164" t="s">
        <v>48</v>
      </c>
      <c r="D164" t="str">
        <f t="shared" si="17"/>
        <v>2017 - July</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t="s">
        <v>43</v>
      </c>
      <c r="W164">
        <v>135.30000000000001</v>
      </c>
      <c r="X164">
        <v>136.1</v>
      </c>
      <c r="Y164">
        <v>132.1</v>
      </c>
      <c r="Z164">
        <v>119.1</v>
      </c>
      <c r="AA164">
        <v>130.6</v>
      </c>
      <c r="AB164">
        <v>138.6</v>
      </c>
      <c r="AC164">
        <v>124.4</v>
      </c>
      <c r="AD164">
        <v>128.6</v>
      </c>
      <c r="AE164">
        <v>136.19999999999999</v>
      </c>
      <c r="AF164">
        <f t="shared" si="16"/>
        <v>1920.3000000000002</v>
      </c>
      <c r="AG164">
        <f t="shared" si="18"/>
        <v>425.9</v>
      </c>
      <c r="AH164">
        <f t="shared" si="19"/>
        <v>271.39999999999998</v>
      </c>
      <c r="AI164">
        <f t="shared" si="20"/>
        <v>256.5</v>
      </c>
      <c r="AJ164">
        <f t="shared" si="21"/>
        <v>119.1</v>
      </c>
      <c r="AK164">
        <f t="shared" si="22"/>
        <v>130.6</v>
      </c>
      <c r="AL164">
        <f t="shared" si="23"/>
        <v>138.6</v>
      </c>
    </row>
    <row r="165" spans="1:38" x14ac:dyDescent="0.3">
      <c r="A165" t="s">
        <v>36</v>
      </c>
      <c r="B165">
        <v>2017</v>
      </c>
      <c r="C165" t="s">
        <v>48</v>
      </c>
      <c r="D165" t="str">
        <f t="shared" si="17"/>
        <v>2017 - July</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c r="AF165">
        <f t="shared" si="16"/>
        <v>1918.6</v>
      </c>
      <c r="AG165">
        <f t="shared" si="18"/>
        <v>385.70000000000005</v>
      </c>
      <c r="AH165">
        <f t="shared" si="19"/>
        <v>379.5</v>
      </c>
      <c r="AI165">
        <f t="shared" si="20"/>
        <v>247.4</v>
      </c>
      <c r="AJ165">
        <f t="shared" si="21"/>
        <v>113.2</v>
      </c>
      <c r="AK165">
        <f t="shared" si="22"/>
        <v>123.5</v>
      </c>
      <c r="AL165">
        <f t="shared" si="23"/>
        <v>135.5</v>
      </c>
    </row>
    <row r="166" spans="1:38" x14ac:dyDescent="0.3">
      <c r="A166" t="s">
        <v>37</v>
      </c>
      <c r="B166">
        <v>2017</v>
      </c>
      <c r="C166" t="s">
        <v>48</v>
      </c>
      <c r="D166" t="str">
        <f t="shared" si="17"/>
        <v>2017 - July</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c r="AF166">
        <f t="shared" si="16"/>
        <v>1917.6</v>
      </c>
      <c r="AG166">
        <f t="shared" si="18"/>
        <v>409.7</v>
      </c>
      <c r="AH166">
        <f t="shared" si="19"/>
        <v>393.9</v>
      </c>
      <c r="AI166">
        <f t="shared" si="20"/>
        <v>253</v>
      </c>
      <c r="AJ166">
        <f t="shared" si="21"/>
        <v>116</v>
      </c>
      <c r="AK166">
        <f t="shared" si="22"/>
        <v>126.6</v>
      </c>
      <c r="AL166">
        <f t="shared" si="23"/>
        <v>136.80000000000001</v>
      </c>
    </row>
    <row r="167" spans="1:38" x14ac:dyDescent="0.3">
      <c r="A167" t="s">
        <v>33</v>
      </c>
      <c r="B167">
        <v>2017</v>
      </c>
      <c r="C167" t="s">
        <v>49</v>
      </c>
      <c r="D167" t="str">
        <f t="shared" si="17"/>
        <v>2017 - August</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t="s">
        <v>43</v>
      </c>
      <c r="W167">
        <v>136.4</v>
      </c>
      <c r="X167">
        <v>137.30000000000001</v>
      </c>
      <c r="Y167">
        <v>133</v>
      </c>
      <c r="Z167">
        <v>120.3</v>
      </c>
      <c r="AA167">
        <v>131.5</v>
      </c>
      <c r="AB167">
        <v>140.19999999999999</v>
      </c>
      <c r="AC167">
        <v>125.4</v>
      </c>
      <c r="AD167">
        <v>129.69999999999999</v>
      </c>
      <c r="AE167">
        <v>137.80000000000001</v>
      </c>
      <c r="AF167">
        <f t="shared" si="16"/>
        <v>1941.4999999999998</v>
      </c>
      <c r="AG167">
        <f t="shared" si="18"/>
        <v>429</v>
      </c>
      <c r="AH167">
        <f t="shared" si="19"/>
        <v>273.70000000000005</v>
      </c>
      <c r="AI167">
        <f t="shared" si="20"/>
        <v>258.39999999999998</v>
      </c>
      <c r="AJ167">
        <f t="shared" si="21"/>
        <v>120.3</v>
      </c>
      <c r="AK167">
        <f t="shared" si="22"/>
        <v>131.5</v>
      </c>
      <c r="AL167">
        <f t="shared" si="23"/>
        <v>140.19999999999999</v>
      </c>
    </row>
    <row r="168" spans="1:38" x14ac:dyDescent="0.3">
      <c r="A168" t="s">
        <v>36</v>
      </c>
      <c r="B168">
        <v>2017</v>
      </c>
      <c r="C168" t="s">
        <v>49</v>
      </c>
      <c r="D168" t="str">
        <f t="shared" si="17"/>
        <v>2017 - August</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c r="AF168">
        <f t="shared" si="16"/>
        <v>1925.0999999999997</v>
      </c>
      <c r="AG168">
        <f t="shared" si="18"/>
        <v>388.4</v>
      </c>
      <c r="AH168">
        <f t="shared" si="19"/>
        <v>381</v>
      </c>
      <c r="AI168">
        <f t="shared" si="20"/>
        <v>249</v>
      </c>
      <c r="AJ168">
        <f t="shared" si="21"/>
        <v>114.6</v>
      </c>
      <c r="AK168">
        <f t="shared" si="22"/>
        <v>124.1</v>
      </c>
      <c r="AL168">
        <f t="shared" si="23"/>
        <v>135.69999999999999</v>
      </c>
    </row>
    <row r="169" spans="1:38" x14ac:dyDescent="0.3">
      <c r="A169" t="s">
        <v>37</v>
      </c>
      <c r="B169">
        <v>2017</v>
      </c>
      <c r="C169" t="s">
        <v>49</v>
      </c>
      <c r="D169" t="str">
        <f t="shared" si="17"/>
        <v>2017 - August</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c r="AF169">
        <f t="shared" si="16"/>
        <v>1933.6</v>
      </c>
      <c r="AG169">
        <f t="shared" si="18"/>
        <v>412.6</v>
      </c>
      <c r="AH169">
        <f t="shared" si="19"/>
        <v>397.00000000000006</v>
      </c>
      <c r="AI169">
        <f t="shared" si="20"/>
        <v>254.7</v>
      </c>
      <c r="AJ169">
        <f t="shared" si="21"/>
        <v>117.3</v>
      </c>
      <c r="AK169">
        <f t="shared" si="22"/>
        <v>127.3</v>
      </c>
      <c r="AL169">
        <f t="shared" si="23"/>
        <v>137.6</v>
      </c>
    </row>
    <row r="170" spans="1:38" x14ac:dyDescent="0.3">
      <c r="A170" t="s">
        <v>33</v>
      </c>
      <c r="B170">
        <v>2017</v>
      </c>
      <c r="C170" t="s">
        <v>50</v>
      </c>
      <c r="D170" t="str">
        <f t="shared" si="17"/>
        <v>2017 - September</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t="s">
        <v>43</v>
      </c>
      <c r="W170">
        <v>137.4</v>
      </c>
      <c r="X170">
        <v>137.9</v>
      </c>
      <c r="Y170">
        <v>133.4</v>
      </c>
      <c r="Z170">
        <v>121.2</v>
      </c>
      <c r="AA170">
        <v>132.30000000000001</v>
      </c>
      <c r="AB170">
        <v>139.6</v>
      </c>
      <c r="AC170">
        <v>126.7</v>
      </c>
      <c r="AD170">
        <v>130.30000000000001</v>
      </c>
      <c r="AE170">
        <v>137.6</v>
      </c>
      <c r="AF170">
        <f t="shared" si="16"/>
        <v>1934.1</v>
      </c>
      <c r="AG170">
        <f t="shared" si="18"/>
        <v>430.99999999999994</v>
      </c>
      <c r="AH170">
        <f t="shared" si="19"/>
        <v>275.3</v>
      </c>
      <c r="AI170">
        <f t="shared" si="20"/>
        <v>260.10000000000002</v>
      </c>
      <c r="AJ170">
        <f t="shared" si="21"/>
        <v>121.2</v>
      </c>
      <c r="AK170">
        <f t="shared" si="22"/>
        <v>132.30000000000001</v>
      </c>
      <c r="AL170">
        <f t="shared" si="23"/>
        <v>139.6</v>
      </c>
    </row>
    <row r="171" spans="1:38" x14ac:dyDescent="0.3">
      <c r="A171" t="s">
        <v>36</v>
      </c>
      <c r="B171">
        <v>2017</v>
      </c>
      <c r="C171" t="s">
        <v>50</v>
      </c>
      <c r="D171" t="str">
        <f t="shared" si="17"/>
        <v>2017 - September</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c r="AF171">
        <f t="shared" si="16"/>
        <v>1903.3</v>
      </c>
      <c r="AG171">
        <f t="shared" si="18"/>
        <v>389.9</v>
      </c>
      <c r="AH171">
        <f t="shared" si="19"/>
        <v>384.4</v>
      </c>
      <c r="AI171">
        <f t="shared" si="20"/>
        <v>250.5</v>
      </c>
      <c r="AJ171">
        <f t="shared" si="21"/>
        <v>115.7</v>
      </c>
      <c r="AK171">
        <f t="shared" si="22"/>
        <v>124.5</v>
      </c>
      <c r="AL171">
        <f t="shared" si="23"/>
        <v>135.9</v>
      </c>
    </row>
    <row r="172" spans="1:38" x14ac:dyDescent="0.3">
      <c r="A172" t="s">
        <v>37</v>
      </c>
      <c r="B172">
        <v>2017</v>
      </c>
      <c r="C172" t="s">
        <v>50</v>
      </c>
      <c r="D172" t="str">
        <f t="shared" si="17"/>
        <v>2017 - September</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c r="AF172">
        <f t="shared" si="16"/>
        <v>1920.7999999999997</v>
      </c>
      <c r="AG172">
        <f t="shared" si="18"/>
        <v>414.5</v>
      </c>
      <c r="AH172">
        <f t="shared" si="19"/>
        <v>400</v>
      </c>
      <c r="AI172">
        <f t="shared" si="20"/>
        <v>256.3</v>
      </c>
      <c r="AJ172">
        <f t="shared" si="21"/>
        <v>118.3</v>
      </c>
      <c r="AK172">
        <f t="shared" si="22"/>
        <v>127.9</v>
      </c>
      <c r="AL172">
        <f t="shared" si="23"/>
        <v>137.4</v>
      </c>
    </row>
    <row r="173" spans="1:38" x14ac:dyDescent="0.3">
      <c r="A173" t="s">
        <v>33</v>
      </c>
      <c r="B173">
        <v>2017</v>
      </c>
      <c r="C173" t="s">
        <v>51</v>
      </c>
      <c r="D173" t="str">
        <f t="shared" si="17"/>
        <v>2017 - October</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t="s">
        <v>43</v>
      </c>
      <c r="W173">
        <v>138.1</v>
      </c>
      <c r="X173">
        <v>138.4</v>
      </c>
      <c r="Y173">
        <v>134.19999999999999</v>
      </c>
      <c r="Z173">
        <v>121</v>
      </c>
      <c r="AA173">
        <v>133</v>
      </c>
      <c r="AB173">
        <v>140.1</v>
      </c>
      <c r="AC173">
        <v>127.4</v>
      </c>
      <c r="AD173">
        <v>130.69999999999999</v>
      </c>
      <c r="AE173">
        <v>138.30000000000001</v>
      </c>
      <c r="AF173">
        <f t="shared" si="16"/>
        <v>1941.3999999999999</v>
      </c>
      <c r="AG173">
        <f t="shared" si="18"/>
        <v>433.99999999999994</v>
      </c>
      <c r="AH173">
        <f t="shared" si="19"/>
        <v>276.5</v>
      </c>
      <c r="AI173">
        <f t="shared" si="20"/>
        <v>261.60000000000002</v>
      </c>
      <c r="AJ173">
        <f t="shared" si="21"/>
        <v>121</v>
      </c>
      <c r="AK173">
        <f t="shared" si="22"/>
        <v>133</v>
      </c>
      <c r="AL173">
        <f t="shared" si="23"/>
        <v>140.1</v>
      </c>
    </row>
    <row r="174" spans="1:38" x14ac:dyDescent="0.3">
      <c r="A174" t="s">
        <v>36</v>
      </c>
      <c r="B174">
        <v>2017</v>
      </c>
      <c r="C174" t="s">
        <v>51</v>
      </c>
      <c r="D174" t="str">
        <f t="shared" si="17"/>
        <v>2017 - October</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c r="AF174">
        <f t="shared" si="16"/>
        <v>1920.2999999999997</v>
      </c>
      <c r="AG174">
        <f t="shared" si="18"/>
        <v>391.5</v>
      </c>
      <c r="AH174">
        <f t="shared" si="19"/>
        <v>388.2</v>
      </c>
      <c r="AI174">
        <f t="shared" si="20"/>
        <v>251.2</v>
      </c>
      <c r="AJ174">
        <f t="shared" si="21"/>
        <v>115</v>
      </c>
      <c r="AK174">
        <f t="shared" si="22"/>
        <v>124.8</v>
      </c>
      <c r="AL174">
        <f t="shared" si="23"/>
        <v>136.30000000000001</v>
      </c>
    </row>
    <row r="175" spans="1:38" x14ac:dyDescent="0.3">
      <c r="A175" t="s">
        <v>37</v>
      </c>
      <c r="B175">
        <v>2017</v>
      </c>
      <c r="C175" t="s">
        <v>51</v>
      </c>
      <c r="D175" t="str">
        <f t="shared" si="17"/>
        <v>2017 - October</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c r="AF175">
        <f t="shared" si="16"/>
        <v>1931.2999999999997</v>
      </c>
      <c r="AG175">
        <f t="shared" si="18"/>
        <v>416.90000000000003</v>
      </c>
      <c r="AH175">
        <f t="shared" si="19"/>
        <v>403.1</v>
      </c>
      <c r="AI175">
        <f t="shared" si="20"/>
        <v>257.5</v>
      </c>
      <c r="AJ175">
        <f t="shared" si="21"/>
        <v>117.8</v>
      </c>
      <c r="AK175">
        <f t="shared" si="22"/>
        <v>128.4</v>
      </c>
      <c r="AL175">
        <f t="shared" si="23"/>
        <v>137.9</v>
      </c>
    </row>
    <row r="176" spans="1:38" x14ac:dyDescent="0.3">
      <c r="A176" t="s">
        <v>33</v>
      </c>
      <c r="B176">
        <v>2017</v>
      </c>
      <c r="C176" t="s">
        <v>53</v>
      </c>
      <c r="D176" t="str">
        <f t="shared" si="17"/>
        <v>2017 - November</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t="s">
        <v>43</v>
      </c>
      <c r="W176">
        <v>141.1</v>
      </c>
      <c r="X176">
        <v>139.4</v>
      </c>
      <c r="Y176">
        <v>135.80000000000001</v>
      </c>
      <c r="Z176">
        <v>121.6</v>
      </c>
      <c r="AA176">
        <v>133.69999999999999</v>
      </c>
      <c r="AB176">
        <v>141.5</v>
      </c>
      <c r="AC176">
        <v>128.1</v>
      </c>
      <c r="AD176">
        <v>131.69999999999999</v>
      </c>
      <c r="AE176">
        <v>140</v>
      </c>
      <c r="AF176">
        <f t="shared" si="16"/>
        <v>1969.8000000000002</v>
      </c>
      <c r="AG176">
        <f t="shared" si="18"/>
        <v>437</v>
      </c>
      <c r="AH176">
        <f t="shared" si="19"/>
        <v>280.5</v>
      </c>
      <c r="AI176">
        <f t="shared" si="20"/>
        <v>263.89999999999998</v>
      </c>
      <c r="AJ176">
        <f t="shared" si="21"/>
        <v>121.6</v>
      </c>
      <c r="AK176">
        <f t="shared" si="22"/>
        <v>133.69999999999999</v>
      </c>
      <c r="AL176">
        <f t="shared" si="23"/>
        <v>141.5</v>
      </c>
    </row>
    <row r="177" spans="1:38" x14ac:dyDescent="0.3">
      <c r="A177" t="s">
        <v>36</v>
      </c>
      <c r="B177">
        <v>2017</v>
      </c>
      <c r="C177" t="s">
        <v>53</v>
      </c>
      <c r="D177" t="str">
        <f t="shared" si="17"/>
        <v>2017 - November</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c r="AF177">
        <f t="shared" si="16"/>
        <v>1952.9</v>
      </c>
      <c r="AG177">
        <f t="shared" si="18"/>
        <v>393.9</v>
      </c>
      <c r="AH177">
        <f t="shared" si="19"/>
        <v>393.1</v>
      </c>
      <c r="AI177">
        <f t="shared" si="20"/>
        <v>252.3</v>
      </c>
      <c r="AJ177">
        <f t="shared" si="21"/>
        <v>115.3</v>
      </c>
      <c r="AK177">
        <f t="shared" si="22"/>
        <v>125.1</v>
      </c>
      <c r="AL177">
        <f t="shared" si="23"/>
        <v>136.6</v>
      </c>
    </row>
    <row r="178" spans="1:38" x14ac:dyDescent="0.3">
      <c r="A178" t="s">
        <v>37</v>
      </c>
      <c r="B178">
        <v>2017</v>
      </c>
      <c r="C178" t="s">
        <v>53</v>
      </c>
      <c r="D178" t="str">
        <f t="shared" si="17"/>
        <v>2017 - November</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c r="AF178">
        <f t="shared" si="16"/>
        <v>1961.4</v>
      </c>
      <c r="AG178">
        <f t="shared" si="18"/>
        <v>419.6</v>
      </c>
      <c r="AH178">
        <f t="shared" si="19"/>
        <v>408.29999999999995</v>
      </c>
      <c r="AI178">
        <f t="shared" si="20"/>
        <v>259.39999999999998</v>
      </c>
      <c r="AJ178">
        <f t="shared" si="21"/>
        <v>118.3</v>
      </c>
      <c r="AK178">
        <f t="shared" si="22"/>
        <v>128.9</v>
      </c>
      <c r="AL178">
        <f t="shared" si="23"/>
        <v>138.6</v>
      </c>
    </row>
    <row r="179" spans="1:38" x14ac:dyDescent="0.3">
      <c r="A179" t="s">
        <v>33</v>
      </c>
      <c r="B179">
        <v>2017</v>
      </c>
      <c r="C179" t="s">
        <v>54</v>
      </c>
      <c r="D179" t="str">
        <f t="shared" si="17"/>
        <v>2017 - December</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t="s">
        <v>43</v>
      </c>
      <c r="W179">
        <v>142.6</v>
      </c>
      <c r="X179">
        <v>139.5</v>
      </c>
      <c r="Y179">
        <v>136.1</v>
      </c>
      <c r="Z179">
        <v>122</v>
      </c>
      <c r="AA179">
        <v>133.4</v>
      </c>
      <c r="AB179">
        <v>141.1</v>
      </c>
      <c r="AC179">
        <v>127.8</v>
      </c>
      <c r="AD179">
        <v>131.9</v>
      </c>
      <c r="AE179">
        <v>139.80000000000001</v>
      </c>
      <c r="AF179">
        <f t="shared" si="16"/>
        <v>1966.8000000000002</v>
      </c>
      <c r="AG179">
        <f t="shared" si="18"/>
        <v>437.09999999999997</v>
      </c>
      <c r="AH179">
        <f t="shared" si="19"/>
        <v>282.10000000000002</v>
      </c>
      <c r="AI179">
        <f t="shared" si="20"/>
        <v>263.89999999999998</v>
      </c>
      <c r="AJ179">
        <f t="shared" si="21"/>
        <v>122</v>
      </c>
      <c r="AK179">
        <f t="shared" si="22"/>
        <v>133.4</v>
      </c>
      <c r="AL179">
        <f t="shared" si="23"/>
        <v>141.1</v>
      </c>
    </row>
    <row r="180" spans="1:38" x14ac:dyDescent="0.3">
      <c r="A180" t="s">
        <v>36</v>
      </c>
      <c r="B180">
        <v>2017</v>
      </c>
      <c r="C180" t="s">
        <v>54</v>
      </c>
      <c r="D180" t="str">
        <f t="shared" si="17"/>
        <v>2017 - December</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c r="AF180">
        <f t="shared" si="16"/>
        <v>1924.5</v>
      </c>
      <c r="AG180">
        <f t="shared" si="18"/>
        <v>395.2</v>
      </c>
      <c r="AH180">
        <f t="shared" si="19"/>
        <v>395.2</v>
      </c>
      <c r="AI180">
        <f t="shared" si="20"/>
        <v>252.79999999999998</v>
      </c>
      <c r="AJ180">
        <f t="shared" si="21"/>
        <v>115.3</v>
      </c>
      <c r="AK180">
        <f t="shared" si="22"/>
        <v>125.6</v>
      </c>
      <c r="AL180">
        <f t="shared" si="23"/>
        <v>136.69999999999999</v>
      </c>
    </row>
    <row r="181" spans="1:38" x14ac:dyDescent="0.3">
      <c r="A181" t="s">
        <v>37</v>
      </c>
      <c r="B181">
        <v>2017</v>
      </c>
      <c r="C181" t="s">
        <v>54</v>
      </c>
      <c r="D181" t="str">
        <f t="shared" si="17"/>
        <v>2017 - December</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c r="AF181">
        <f t="shared" si="16"/>
        <v>1949.1999999999998</v>
      </c>
      <c r="AG181">
        <f t="shared" si="18"/>
        <v>420.2</v>
      </c>
      <c r="AH181">
        <f t="shared" si="19"/>
        <v>410.4</v>
      </c>
      <c r="AI181">
        <f t="shared" si="20"/>
        <v>259.60000000000002</v>
      </c>
      <c r="AJ181">
        <f t="shared" si="21"/>
        <v>118.5</v>
      </c>
      <c r="AK181">
        <f t="shared" si="22"/>
        <v>129</v>
      </c>
      <c r="AL181">
        <f t="shared" si="23"/>
        <v>138.5</v>
      </c>
    </row>
    <row r="182" spans="1:38" x14ac:dyDescent="0.3">
      <c r="A182" t="s">
        <v>33</v>
      </c>
      <c r="B182">
        <v>2018</v>
      </c>
      <c r="C182" t="s">
        <v>42</v>
      </c>
      <c r="D182" t="str">
        <f t="shared" si="17"/>
        <v>2018 - January</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t="s">
        <v>43</v>
      </c>
      <c r="W182">
        <v>142.30000000000001</v>
      </c>
      <c r="X182">
        <v>139.80000000000001</v>
      </c>
      <c r="Y182">
        <v>136</v>
      </c>
      <c r="Z182">
        <v>122.7</v>
      </c>
      <c r="AA182">
        <v>134.30000000000001</v>
      </c>
      <c r="AB182">
        <v>141.6</v>
      </c>
      <c r="AC182">
        <v>128.6</v>
      </c>
      <c r="AD182">
        <v>132.30000000000001</v>
      </c>
      <c r="AE182">
        <v>139.30000000000001</v>
      </c>
      <c r="AF182">
        <f t="shared" si="16"/>
        <v>1954.3</v>
      </c>
      <c r="AG182">
        <f t="shared" si="18"/>
        <v>438.1</v>
      </c>
      <c r="AH182">
        <f t="shared" si="19"/>
        <v>282.10000000000002</v>
      </c>
      <c r="AI182">
        <f t="shared" si="20"/>
        <v>264.60000000000002</v>
      </c>
      <c r="AJ182">
        <f t="shared" si="21"/>
        <v>122.7</v>
      </c>
      <c r="AK182">
        <f t="shared" si="22"/>
        <v>134.30000000000001</v>
      </c>
      <c r="AL182">
        <f t="shared" si="23"/>
        <v>141.6</v>
      </c>
    </row>
    <row r="183" spans="1:38" x14ac:dyDescent="0.3">
      <c r="A183" t="s">
        <v>36</v>
      </c>
      <c r="B183">
        <v>2018</v>
      </c>
      <c r="C183" t="s">
        <v>42</v>
      </c>
      <c r="D183" t="str">
        <f t="shared" si="17"/>
        <v>2018 - January</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c r="AF183">
        <f t="shared" si="16"/>
        <v>1906.0000000000002</v>
      </c>
      <c r="AG183">
        <f t="shared" si="18"/>
        <v>396.29999999999995</v>
      </c>
      <c r="AH183">
        <f t="shared" si="19"/>
        <v>397.2</v>
      </c>
      <c r="AI183">
        <f t="shared" si="20"/>
        <v>254.5</v>
      </c>
      <c r="AJ183">
        <f t="shared" si="21"/>
        <v>116.3</v>
      </c>
      <c r="AK183">
        <f t="shared" si="22"/>
        <v>126.2</v>
      </c>
      <c r="AL183">
        <f t="shared" si="23"/>
        <v>137.1</v>
      </c>
    </row>
    <row r="184" spans="1:38" x14ac:dyDescent="0.3">
      <c r="A184" t="s">
        <v>37</v>
      </c>
      <c r="B184">
        <v>2018</v>
      </c>
      <c r="C184" t="s">
        <v>42</v>
      </c>
      <c r="D184" t="str">
        <f t="shared" si="17"/>
        <v>2018 - January</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c r="AF184">
        <f t="shared" si="16"/>
        <v>1934.6000000000001</v>
      </c>
      <c r="AG184">
        <f t="shared" si="18"/>
        <v>421.3</v>
      </c>
      <c r="AH184">
        <f t="shared" si="19"/>
        <v>411.9</v>
      </c>
      <c r="AI184">
        <f t="shared" si="20"/>
        <v>260.60000000000002</v>
      </c>
      <c r="AJ184">
        <f t="shared" si="21"/>
        <v>119.3</v>
      </c>
      <c r="AK184">
        <f t="shared" si="22"/>
        <v>129.69999999999999</v>
      </c>
      <c r="AL184">
        <f t="shared" si="23"/>
        <v>139</v>
      </c>
    </row>
    <row r="185" spans="1:38" x14ac:dyDescent="0.3">
      <c r="A185" t="s">
        <v>33</v>
      </c>
      <c r="B185">
        <v>2018</v>
      </c>
      <c r="C185" t="s">
        <v>44</v>
      </c>
      <c r="D185" t="str">
        <f t="shared" si="17"/>
        <v>2018 - February</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t="s">
        <v>43</v>
      </c>
      <c r="W185">
        <v>142.4</v>
      </c>
      <c r="X185">
        <v>139.9</v>
      </c>
      <c r="Y185">
        <v>136.19999999999999</v>
      </c>
      <c r="Z185">
        <v>123.3</v>
      </c>
      <c r="AA185">
        <v>134.30000000000001</v>
      </c>
      <c r="AB185">
        <v>141.5</v>
      </c>
      <c r="AC185">
        <v>128.80000000000001</v>
      </c>
      <c r="AD185">
        <v>132.5</v>
      </c>
      <c r="AE185">
        <v>138.5</v>
      </c>
      <c r="AF185">
        <f t="shared" si="16"/>
        <v>1934.8</v>
      </c>
      <c r="AG185">
        <f t="shared" si="18"/>
        <v>438.90000000000003</v>
      </c>
      <c r="AH185">
        <f t="shared" si="19"/>
        <v>282.3</v>
      </c>
      <c r="AI185">
        <f t="shared" si="20"/>
        <v>265</v>
      </c>
      <c r="AJ185">
        <f t="shared" si="21"/>
        <v>123.3</v>
      </c>
      <c r="AK185">
        <f t="shared" si="22"/>
        <v>134.30000000000001</v>
      </c>
      <c r="AL185">
        <f t="shared" si="23"/>
        <v>141.5</v>
      </c>
    </row>
    <row r="186" spans="1:38" x14ac:dyDescent="0.3">
      <c r="A186" t="s">
        <v>36</v>
      </c>
      <c r="B186">
        <v>2018</v>
      </c>
      <c r="C186" t="s">
        <v>44</v>
      </c>
      <c r="D186" t="str">
        <f t="shared" si="17"/>
        <v>2018 - February</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c r="AF186">
        <f t="shared" si="16"/>
        <v>1887.2</v>
      </c>
      <c r="AG186">
        <f t="shared" si="18"/>
        <v>397.09999999999997</v>
      </c>
      <c r="AH186">
        <f t="shared" si="19"/>
        <v>398.5</v>
      </c>
      <c r="AI186">
        <f t="shared" si="20"/>
        <v>256</v>
      </c>
      <c r="AJ186">
        <f t="shared" si="21"/>
        <v>117.4</v>
      </c>
      <c r="AK186">
        <f t="shared" si="22"/>
        <v>126.5</v>
      </c>
      <c r="AL186">
        <f t="shared" si="23"/>
        <v>137.19999999999999</v>
      </c>
    </row>
    <row r="187" spans="1:38" x14ac:dyDescent="0.3">
      <c r="A187" t="s">
        <v>37</v>
      </c>
      <c r="B187">
        <v>2018</v>
      </c>
      <c r="C187" t="s">
        <v>44</v>
      </c>
      <c r="D187" t="str">
        <f t="shared" si="17"/>
        <v>2018 - February</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c r="AF187">
        <f t="shared" si="16"/>
        <v>1915.2999999999997</v>
      </c>
      <c r="AG187">
        <f t="shared" si="18"/>
        <v>422</v>
      </c>
      <c r="AH187">
        <f t="shared" si="19"/>
        <v>413.2</v>
      </c>
      <c r="AI187">
        <f t="shared" si="20"/>
        <v>261.5</v>
      </c>
      <c r="AJ187">
        <f t="shared" si="21"/>
        <v>120.2</v>
      </c>
      <c r="AK187">
        <f t="shared" si="22"/>
        <v>129.9</v>
      </c>
      <c r="AL187">
        <f t="shared" si="23"/>
        <v>139</v>
      </c>
    </row>
    <row r="188" spans="1:38" x14ac:dyDescent="0.3">
      <c r="A188" t="s">
        <v>33</v>
      </c>
      <c r="B188">
        <v>2018</v>
      </c>
      <c r="C188" t="s">
        <v>45</v>
      </c>
      <c r="D188" t="str">
        <f t="shared" si="17"/>
        <v>2018 - March</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t="s">
        <v>43</v>
      </c>
      <c r="W188">
        <v>142.6</v>
      </c>
      <c r="X188">
        <v>139.9</v>
      </c>
      <c r="Y188">
        <v>136.69999999999999</v>
      </c>
      <c r="Z188">
        <v>124.6</v>
      </c>
      <c r="AA188">
        <v>135.1</v>
      </c>
      <c r="AB188">
        <v>142.69999999999999</v>
      </c>
      <c r="AC188">
        <v>129.30000000000001</v>
      </c>
      <c r="AD188">
        <v>133.30000000000001</v>
      </c>
      <c r="AE188">
        <v>138.69999999999999</v>
      </c>
      <c r="AF188">
        <f t="shared" si="16"/>
        <v>1937.0999999999997</v>
      </c>
      <c r="AG188">
        <f t="shared" si="18"/>
        <v>440.5</v>
      </c>
      <c r="AH188">
        <f t="shared" si="19"/>
        <v>282.5</v>
      </c>
      <c r="AI188">
        <f t="shared" si="20"/>
        <v>266</v>
      </c>
      <c r="AJ188">
        <f t="shared" si="21"/>
        <v>124.6</v>
      </c>
      <c r="AK188">
        <f t="shared" si="22"/>
        <v>135.1</v>
      </c>
      <c r="AL188">
        <f t="shared" si="23"/>
        <v>142.69999999999999</v>
      </c>
    </row>
    <row r="189" spans="1:38" x14ac:dyDescent="0.3">
      <c r="A189" t="s">
        <v>36</v>
      </c>
      <c r="B189">
        <v>2018</v>
      </c>
      <c r="C189" t="s">
        <v>45</v>
      </c>
      <c r="D189" t="str">
        <f t="shared" si="17"/>
        <v>2018 - March</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c r="AF189">
        <f t="shared" si="16"/>
        <v>1875.2</v>
      </c>
      <c r="AG189">
        <f t="shared" si="18"/>
        <v>398.59999999999997</v>
      </c>
      <c r="AH189">
        <f t="shared" si="19"/>
        <v>399.2</v>
      </c>
      <c r="AI189">
        <f t="shared" si="20"/>
        <v>257.2</v>
      </c>
      <c r="AJ189">
        <f t="shared" si="21"/>
        <v>117.8</v>
      </c>
      <c r="AK189">
        <f t="shared" si="22"/>
        <v>126.8</v>
      </c>
      <c r="AL189">
        <f t="shared" si="23"/>
        <v>137.80000000000001</v>
      </c>
    </row>
    <row r="190" spans="1:38" x14ac:dyDescent="0.3">
      <c r="A190" t="s">
        <v>37</v>
      </c>
      <c r="B190">
        <v>2018</v>
      </c>
      <c r="C190" t="s">
        <v>45</v>
      </c>
      <c r="D190" t="str">
        <f t="shared" si="17"/>
        <v>2018 - March</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c r="AF190">
        <f t="shared" si="16"/>
        <v>1912.3</v>
      </c>
      <c r="AG190">
        <f t="shared" si="18"/>
        <v>423.6</v>
      </c>
      <c r="AH190">
        <f t="shared" si="19"/>
        <v>414.1</v>
      </c>
      <c r="AI190">
        <f t="shared" si="20"/>
        <v>262.5</v>
      </c>
      <c r="AJ190">
        <f t="shared" si="21"/>
        <v>121</v>
      </c>
      <c r="AK190">
        <f t="shared" si="22"/>
        <v>130.4</v>
      </c>
      <c r="AL190">
        <f t="shared" si="23"/>
        <v>139.80000000000001</v>
      </c>
    </row>
    <row r="191" spans="1:38" x14ac:dyDescent="0.3">
      <c r="A191" t="s">
        <v>33</v>
      </c>
      <c r="B191">
        <v>2018</v>
      </c>
      <c r="C191" t="s">
        <v>46</v>
      </c>
      <c r="D191" t="str">
        <f t="shared" si="17"/>
        <v>2018 - April</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t="s">
        <v>43</v>
      </c>
      <c r="W191">
        <v>143.80000000000001</v>
      </c>
      <c r="X191">
        <v>140.9</v>
      </c>
      <c r="Y191">
        <v>137.6</v>
      </c>
      <c r="Z191">
        <v>125.3</v>
      </c>
      <c r="AA191">
        <v>136</v>
      </c>
      <c r="AB191">
        <v>143.69999999999999</v>
      </c>
      <c r="AC191">
        <v>130.4</v>
      </c>
      <c r="AD191">
        <v>134.19999999999999</v>
      </c>
      <c r="AE191">
        <v>139.1</v>
      </c>
      <c r="AF191">
        <f t="shared" si="16"/>
        <v>1936.1</v>
      </c>
      <c r="AG191">
        <f t="shared" si="18"/>
        <v>442.5</v>
      </c>
      <c r="AH191">
        <f t="shared" si="19"/>
        <v>284.70000000000005</v>
      </c>
      <c r="AI191">
        <f t="shared" si="20"/>
        <v>268</v>
      </c>
      <c r="AJ191">
        <f t="shared" si="21"/>
        <v>125.3</v>
      </c>
      <c r="AK191">
        <f t="shared" si="22"/>
        <v>136</v>
      </c>
      <c r="AL191">
        <f t="shared" si="23"/>
        <v>143.69999999999999</v>
      </c>
    </row>
    <row r="192" spans="1:38" x14ac:dyDescent="0.3">
      <c r="A192" t="s">
        <v>36</v>
      </c>
      <c r="B192">
        <v>2018</v>
      </c>
      <c r="C192" t="s">
        <v>46</v>
      </c>
      <c r="D192" t="str">
        <f t="shared" si="17"/>
        <v>2018 - April</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c r="AF192">
        <f t="shared" si="16"/>
        <v>1879.2000000000003</v>
      </c>
      <c r="AG192">
        <f t="shared" si="18"/>
        <v>401.40000000000003</v>
      </c>
      <c r="AH192">
        <f t="shared" si="19"/>
        <v>399.3</v>
      </c>
      <c r="AI192">
        <f t="shared" si="20"/>
        <v>258.89999999999998</v>
      </c>
      <c r="AJ192">
        <f t="shared" si="21"/>
        <v>118.9</v>
      </c>
      <c r="AK192">
        <f t="shared" si="22"/>
        <v>127.6</v>
      </c>
      <c r="AL192">
        <f t="shared" si="23"/>
        <v>139.69999999999999</v>
      </c>
    </row>
    <row r="193" spans="1:38" x14ac:dyDescent="0.3">
      <c r="A193" t="s">
        <v>37</v>
      </c>
      <c r="B193">
        <v>2018</v>
      </c>
      <c r="C193" t="s">
        <v>46</v>
      </c>
      <c r="D193" t="str">
        <f t="shared" si="17"/>
        <v>2018 - April</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c r="AF193">
        <f t="shared" si="16"/>
        <v>1914.0000000000002</v>
      </c>
      <c r="AG193">
        <f t="shared" si="18"/>
        <v>426</v>
      </c>
      <c r="AH193">
        <f t="shared" si="19"/>
        <v>416</v>
      </c>
      <c r="AI193">
        <f t="shared" si="20"/>
        <v>264.39999999999998</v>
      </c>
      <c r="AJ193">
        <f t="shared" si="21"/>
        <v>121.9</v>
      </c>
      <c r="AK193">
        <f t="shared" si="22"/>
        <v>131.30000000000001</v>
      </c>
      <c r="AL193">
        <f t="shared" si="23"/>
        <v>141.4</v>
      </c>
    </row>
    <row r="194" spans="1:38" x14ac:dyDescent="0.3">
      <c r="A194" t="s">
        <v>33</v>
      </c>
      <c r="B194">
        <v>2018</v>
      </c>
      <c r="C194" t="s">
        <v>34</v>
      </c>
      <c r="D194" t="str">
        <f t="shared" si="17"/>
        <v>2018 - May</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t="s">
        <v>43</v>
      </c>
      <c r="W194">
        <v>144.30000000000001</v>
      </c>
      <c r="X194">
        <v>141.80000000000001</v>
      </c>
      <c r="Y194">
        <v>138.4</v>
      </c>
      <c r="Z194">
        <v>126.4</v>
      </c>
      <c r="AA194">
        <v>136.80000000000001</v>
      </c>
      <c r="AB194">
        <v>144.4</v>
      </c>
      <c r="AC194">
        <v>131.19999999999999</v>
      </c>
      <c r="AD194">
        <v>135.1</v>
      </c>
      <c r="AE194">
        <v>139.80000000000001</v>
      </c>
      <c r="AF194">
        <f t="shared" ref="AF194:AF257" si="24">SUM(E194:R194)</f>
        <v>1939.4</v>
      </c>
      <c r="AG194">
        <f t="shared" si="18"/>
        <v>444.7</v>
      </c>
      <c r="AH194">
        <f t="shared" si="19"/>
        <v>286.10000000000002</v>
      </c>
      <c r="AI194">
        <f t="shared" si="20"/>
        <v>269.60000000000002</v>
      </c>
      <c r="AJ194">
        <f t="shared" si="21"/>
        <v>126.4</v>
      </c>
      <c r="AK194">
        <f t="shared" si="22"/>
        <v>136.80000000000001</v>
      </c>
      <c r="AL194">
        <f t="shared" si="23"/>
        <v>144.4</v>
      </c>
    </row>
    <row r="195" spans="1:38" x14ac:dyDescent="0.3">
      <c r="A195" t="s">
        <v>36</v>
      </c>
      <c r="B195">
        <v>2018</v>
      </c>
      <c r="C195" t="s">
        <v>34</v>
      </c>
      <c r="D195" t="str">
        <f t="shared" ref="D195:D258" si="25">B195 &amp; " - " &amp; C195</f>
        <v>2018 - May</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c r="AF195">
        <f t="shared" si="24"/>
        <v>1883.1999999999998</v>
      </c>
      <c r="AG195">
        <f t="shared" ref="AG195:AG258" si="26">SUM(S195:U195)</f>
        <v>403.5</v>
      </c>
      <c r="AH195">
        <f t="shared" ref="AH195:AH258" si="27">SUM(V195:X195)</f>
        <v>400.4</v>
      </c>
      <c r="AI195">
        <f t="shared" ref="AI195:AI258" si="28">SUM(Y195,AC195)</f>
        <v>260.10000000000002</v>
      </c>
      <c r="AJ195">
        <f t="shared" ref="AJ195:AJ258" si="29">SUM(Z195)</f>
        <v>119.8</v>
      </c>
      <c r="AK195">
        <f t="shared" ref="AK195:AK258" si="30">SUM(AA195)</f>
        <v>128</v>
      </c>
      <c r="AL195">
        <f t="shared" ref="AL195:AL258" si="31">SUM(AB195)</f>
        <v>140.4</v>
      </c>
    </row>
    <row r="196" spans="1:38" x14ac:dyDescent="0.3">
      <c r="A196" t="s">
        <v>37</v>
      </c>
      <c r="B196">
        <v>2018</v>
      </c>
      <c r="C196" t="s">
        <v>34</v>
      </c>
      <c r="D196" t="str">
        <f t="shared" si="25"/>
        <v>2018 - May</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c r="AF196">
        <f t="shared" si="24"/>
        <v>1917.7</v>
      </c>
      <c r="AG196">
        <f t="shared" si="26"/>
        <v>428.09999999999997</v>
      </c>
      <c r="AH196">
        <f t="shared" si="27"/>
        <v>417.5</v>
      </c>
      <c r="AI196">
        <f t="shared" si="28"/>
        <v>265.89999999999998</v>
      </c>
      <c r="AJ196">
        <f t="shared" si="29"/>
        <v>122.9</v>
      </c>
      <c r="AK196">
        <f t="shared" si="30"/>
        <v>131.80000000000001</v>
      </c>
      <c r="AL196">
        <f t="shared" si="31"/>
        <v>142.1</v>
      </c>
    </row>
    <row r="197" spans="1:38" x14ac:dyDescent="0.3">
      <c r="A197" t="s">
        <v>33</v>
      </c>
      <c r="B197">
        <v>2018</v>
      </c>
      <c r="C197" t="s">
        <v>47</v>
      </c>
      <c r="D197" t="str">
        <f t="shared" si="25"/>
        <v>2018 - June</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t="s">
        <v>43</v>
      </c>
      <c r="W197">
        <v>145.1</v>
      </c>
      <c r="X197">
        <v>142.19999999999999</v>
      </c>
      <c r="Y197">
        <v>138.4</v>
      </c>
      <c r="Z197">
        <v>127.4</v>
      </c>
      <c r="AA197">
        <v>137.80000000000001</v>
      </c>
      <c r="AB197">
        <v>145.1</v>
      </c>
      <c r="AC197">
        <v>131.4</v>
      </c>
      <c r="AD197">
        <v>135.6</v>
      </c>
      <c r="AE197">
        <v>140.5</v>
      </c>
      <c r="AF197">
        <f t="shared" si="24"/>
        <v>1947.5999999999997</v>
      </c>
      <c r="AG197">
        <f t="shared" si="26"/>
        <v>446.3</v>
      </c>
      <c r="AH197">
        <f t="shared" si="27"/>
        <v>287.29999999999995</v>
      </c>
      <c r="AI197">
        <f t="shared" si="28"/>
        <v>269.8</v>
      </c>
      <c r="AJ197">
        <f t="shared" si="29"/>
        <v>127.4</v>
      </c>
      <c r="AK197">
        <f t="shared" si="30"/>
        <v>137.80000000000001</v>
      </c>
      <c r="AL197">
        <f t="shared" si="31"/>
        <v>145.1</v>
      </c>
    </row>
    <row r="198" spans="1:38" x14ac:dyDescent="0.3">
      <c r="A198" t="s">
        <v>36</v>
      </c>
      <c r="B198">
        <v>2018</v>
      </c>
      <c r="C198" t="s">
        <v>47</v>
      </c>
      <c r="D198" t="str">
        <f t="shared" si="25"/>
        <v>2018 - June</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c r="AF198">
        <f t="shared" si="24"/>
        <v>1908.3000000000002</v>
      </c>
      <c r="AG198">
        <f t="shared" si="26"/>
        <v>405</v>
      </c>
      <c r="AH198">
        <f t="shared" si="27"/>
        <v>402.1</v>
      </c>
      <c r="AI198">
        <f t="shared" si="28"/>
        <v>260.79999999999995</v>
      </c>
      <c r="AJ198">
        <f t="shared" si="29"/>
        <v>120.4</v>
      </c>
      <c r="AK198">
        <f t="shared" si="30"/>
        <v>128.5</v>
      </c>
      <c r="AL198">
        <f t="shared" si="31"/>
        <v>141.19999999999999</v>
      </c>
    </row>
    <row r="199" spans="1:38" x14ac:dyDescent="0.3">
      <c r="A199" t="s">
        <v>37</v>
      </c>
      <c r="B199">
        <v>2018</v>
      </c>
      <c r="C199" t="s">
        <v>47</v>
      </c>
      <c r="D199" t="str">
        <f t="shared" si="25"/>
        <v>2018 - June</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c r="AF199">
        <f t="shared" si="24"/>
        <v>1932.4</v>
      </c>
      <c r="AG199">
        <f t="shared" si="26"/>
        <v>429.7</v>
      </c>
      <c r="AH199">
        <f t="shared" si="27"/>
        <v>418.5</v>
      </c>
      <c r="AI199">
        <f t="shared" si="28"/>
        <v>266.29999999999995</v>
      </c>
      <c r="AJ199">
        <f t="shared" si="29"/>
        <v>123.7</v>
      </c>
      <c r="AK199">
        <f t="shared" si="30"/>
        <v>132.6</v>
      </c>
      <c r="AL199">
        <f t="shared" si="31"/>
        <v>142.80000000000001</v>
      </c>
    </row>
    <row r="200" spans="1:38" x14ac:dyDescent="0.3">
      <c r="A200" t="s">
        <v>33</v>
      </c>
      <c r="B200">
        <v>2018</v>
      </c>
      <c r="C200" t="s">
        <v>48</v>
      </c>
      <c r="D200" t="str">
        <f t="shared" si="25"/>
        <v>2018 - July</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t="s">
        <v>43</v>
      </c>
      <c r="W200">
        <v>146.80000000000001</v>
      </c>
      <c r="X200">
        <v>143.1</v>
      </c>
      <c r="Y200">
        <v>139</v>
      </c>
      <c r="Z200">
        <v>127.5</v>
      </c>
      <c r="AA200">
        <v>138.4</v>
      </c>
      <c r="AB200">
        <v>145.80000000000001</v>
      </c>
      <c r="AC200">
        <v>131.4</v>
      </c>
      <c r="AD200">
        <v>136</v>
      </c>
      <c r="AE200">
        <v>141.80000000000001</v>
      </c>
      <c r="AF200">
        <f t="shared" si="24"/>
        <v>1966.6000000000001</v>
      </c>
      <c r="AG200">
        <f t="shared" si="26"/>
        <v>447.20000000000005</v>
      </c>
      <c r="AH200">
        <f t="shared" si="27"/>
        <v>289.89999999999998</v>
      </c>
      <c r="AI200">
        <f t="shared" si="28"/>
        <v>270.39999999999998</v>
      </c>
      <c r="AJ200">
        <f t="shared" si="29"/>
        <v>127.5</v>
      </c>
      <c r="AK200">
        <f t="shared" si="30"/>
        <v>138.4</v>
      </c>
      <c r="AL200">
        <f t="shared" si="31"/>
        <v>145.80000000000001</v>
      </c>
    </row>
    <row r="201" spans="1:38" x14ac:dyDescent="0.3">
      <c r="A201" t="s">
        <v>36</v>
      </c>
      <c r="B201">
        <v>2018</v>
      </c>
      <c r="C201" t="s">
        <v>48</v>
      </c>
      <c r="D201" t="str">
        <f t="shared" si="25"/>
        <v>2018 - July</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c r="AF201">
        <f t="shared" si="24"/>
        <v>1932.5</v>
      </c>
      <c r="AG201">
        <f t="shared" si="26"/>
        <v>406.4</v>
      </c>
      <c r="AH201">
        <f t="shared" si="27"/>
        <v>405.29999999999995</v>
      </c>
      <c r="AI201">
        <f t="shared" si="28"/>
        <v>261.79999999999995</v>
      </c>
      <c r="AJ201">
        <f t="shared" si="29"/>
        <v>120.1</v>
      </c>
      <c r="AK201">
        <f t="shared" si="30"/>
        <v>129</v>
      </c>
      <c r="AL201">
        <f t="shared" si="31"/>
        <v>144</v>
      </c>
    </row>
    <row r="202" spans="1:38" x14ac:dyDescent="0.3">
      <c r="A202" t="s">
        <v>37</v>
      </c>
      <c r="B202">
        <v>2018</v>
      </c>
      <c r="C202" t="s">
        <v>48</v>
      </c>
      <c r="D202" t="str">
        <f t="shared" si="25"/>
        <v>2018 - July</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c r="AF202">
        <f t="shared" si="24"/>
        <v>1952.8</v>
      </c>
      <c r="AG202">
        <f t="shared" si="26"/>
        <v>430.80000000000007</v>
      </c>
      <c r="AH202">
        <f t="shared" si="27"/>
        <v>421.9</v>
      </c>
      <c r="AI202">
        <f t="shared" si="28"/>
        <v>267.10000000000002</v>
      </c>
      <c r="AJ202">
        <f t="shared" si="29"/>
        <v>123.6</v>
      </c>
      <c r="AK202">
        <f t="shared" si="30"/>
        <v>133.1</v>
      </c>
      <c r="AL202">
        <f t="shared" si="31"/>
        <v>144.69999999999999</v>
      </c>
    </row>
    <row r="203" spans="1:38" x14ac:dyDescent="0.3">
      <c r="A203" t="s">
        <v>33</v>
      </c>
      <c r="B203">
        <v>2018</v>
      </c>
      <c r="C203" t="s">
        <v>49</v>
      </c>
      <c r="D203" t="str">
        <f t="shared" si="25"/>
        <v>2018 - August</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t="s">
        <v>43</v>
      </c>
      <c r="W203">
        <v>147.69999999999999</v>
      </c>
      <c r="X203">
        <v>143.80000000000001</v>
      </c>
      <c r="Y203">
        <v>139.4</v>
      </c>
      <c r="Z203">
        <v>128.30000000000001</v>
      </c>
      <c r="AA203">
        <v>138.6</v>
      </c>
      <c r="AB203">
        <v>146.9</v>
      </c>
      <c r="AC203">
        <v>131.30000000000001</v>
      </c>
      <c r="AD203">
        <v>136.6</v>
      </c>
      <c r="AE203">
        <v>142.5</v>
      </c>
      <c r="AF203">
        <f t="shared" si="24"/>
        <v>1975.2</v>
      </c>
      <c r="AG203">
        <f t="shared" si="26"/>
        <v>449.2</v>
      </c>
      <c r="AH203">
        <f t="shared" si="27"/>
        <v>291.5</v>
      </c>
      <c r="AI203">
        <f t="shared" si="28"/>
        <v>270.70000000000005</v>
      </c>
      <c r="AJ203">
        <f t="shared" si="29"/>
        <v>128.30000000000001</v>
      </c>
      <c r="AK203">
        <f t="shared" si="30"/>
        <v>138.6</v>
      </c>
      <c r="AL203">
        <f t="shared" si="31"/>
        <v>146.9</v>
      </c>
    </row>
    <row r="204" spans="1:38" x14ac:dyDescent="0.3">
      <c r="A204" t="s">
        <v>36</v>
      </c>
      <c r="B204">
        <v>2018</v>
      </c>
      <c r="C204" t="s">
        <v>49</v>
      </c>
      <c r="D204" t="str">
        <f t="shared" si="25"/>
        <v>2018 - August</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c r="AF204">
        <f t="shared" si="24"/>
        <v>1929.6999999999998</v>
      </c>
      <c r="AG204">
        <f t="shared" si="26"/>
        <v>407.3</v>
      </c>
      <c r="AH204">
        <f t="shared" si="27"/>
        <v>408.79999999999995</v>
      </c>
      <c r="AI204">
        <f t="shared" si="28"/>
        <v>263.20000000000005</v>
      </c>
      <c r="AJ204">
        <f t="shared" si="29"/>
        <v>120.7</v>
      </c>
      <c r="AK204">
        <f t="shared" si="30"/>
        <v>129.80000000000001</v>
      </c>
      <c r="AL204">
        <f t="shared" si="31"/>
        <v>145.30000000000001</v>
      </c>
    </row>
    <row r="205" spans="1:38" x14ac:dyDescent="0.3">
      <c r="A205" t="s">
        <v>37</v>
      </c>
      <c r="B205">
        <v>2018</v>
      </c>
      <c r="C205" t="s">
        <v>49</v>
      </c>
      <c r="D205" t="str">
        <f t="shared" si="25"/>
        <v>2018 - August</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c r="AF205">
        <f t="shared" si="24"/>
        <v>1956.6000000000004</v>
      </c>
      <c r="AG205">
        <f t="shared" si="26"/>
        <v>432.20000000000005</v>
      </c>
      <c r="AH205">
        <f t="shared" si="27"/>
        <v>424.9</v>
      </c>
      <c r="AI205">
        <f t="shared" si="28"/>
        <v>267.79999999999995</v>
      </c>
      <c r="AJ205">
        <f t="shared" si="29"/>
        <v>124.3</v>
      </c>
      <c r="AK205">
        <f t="shared" si="30"/>
        <v>133.6</v>
      </c>
      <c r="AL205">
        <f t="shared" si="31"/>
        <v>146</v>
      </c>
    </row>
    <row r="206" spans="1:38" x14ac:dyDescent="0.3">
      <c r="A206" t="s">
        <v>33</v>
      </c>
      <c r="B206">
        <v>2018</v>
      </c>
      <c r="C206" t="s">
        <v>50</v>
      </c>
      <c r="D206" t="str">
        <f t="shared" si="25"/>
        <v>2018 - September</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t="s">
        <v>43</v>
      </c>
      <c r="W206">
        <v>149</v>
      </c>
      <c r="X206">
        <v>144</v>
      </c>
      <c r="Y206">
        <v>140</v>
      </c>
      <c r="Z206">
        <v>129.9</v>
      </c>
      <c r="AA206">
        <v>140</v>
      </c>
      <c r="AB206">
        <v>147.6</v>
      </c>
      <c r="AC206">
        <v>132</v>
      </c>
      <c r="AD206">
        <v>137.4</v>
      </c>
      <c r="AE206">
        <v>142.1</v>
      </c>
      <c r="AF206">
        <f t="shared" si="24"/>
        <v>1957.5000000000002</v>
      </c>
      <c r="AG206">
        <f t="shared" si="26"/>
        <v>449.5</v>
      </c>
      <c r="AH206">
        <f t="shared" si="27"/>
        <v>293</v>
      </c>
      <c r="AI206">
        <f t="shared" si="28"/>
        <v>272</v>
      </c>
      <c r="AJ206">
        <f t="shared" si="29"/>
        <v>129.9</v>
      </c>
      <c r="AK206">
        <f t="shared" si="30"/>
        <v>140</v>
      </c>
      <c r="AL206">
        <f t="shared" si="31"/>
        <v>147.6</v>
      </c>
    </row>
    <row r="207" spans="1:38" x14ac:dyDescent="0.3">
      <c r="A207" t="s">
        <v>36</v>
      </c>
      <c r="B207">
        <v>2018</v>
      </c>
      <c r="C207" t="s">
        <v>50</v>
      </c>
      <c r="D207" t="str">
        <f t="shared" si="25"/>
        <v>2018 - September</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c r="AF207">
        <f t="shared" si="24"/>
        <v>1911.7</v>
      </c>
      <c r="AG207">
        <f t="shared" si="26"/>
        <v>409.20000000000005</v>
      </c>
      <c r="AH207">
        <f t="shared" si="27"/>
        <v>411.4</v>
      </c>
      <c r="AI207">
        <f t="shared" si="28"/>
        <v>265</v>
      </c>
      <c r="AJ207">
        <f t="shared" si="29"/>
        <v>122.5</v>
      </c>
      <c r="AK207">
        <f t="shared" si="30"/>
        <v>130.19999999999999</v>
      </c>
      <c r="AL207">
        <f t="shared" si="31"/>
        <v>145.19999999999999</v>
      </c>
    </row>
    <row r="208" spans="1:38" x14ac:dyDescent="0.3">
      <c r="A208" t="s">
        <v>37</v>
      </c>
      <c r="B208">
        <v>2018</v>
      </c>
      <c r="C208" t="s">
        <v>50</v>
      </c>
      <c r="D208" t="str">
        <f t="shared" si="25"/>
        <v>2018 - September</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c r="AF208">
        <f t="shared" si="24"/>
        <v>1938.7</v>
      </c>
      <c r="AG208">
        <f t="shared" si="26"/>
        <v>433.29999999999995</v>
      </c>
      <c r="AH208">
        <f t="shared" si="27"/>
        <v>427.3</v>
      </c>
      <c r="AI208">
        <f t="shared" si="28"/>
        <v>269.3</v>
      </c>
      <c r="AJ208">
        <f t="shared" si="29"/>
        <v>126</v>
      </c>
      <c r="AK208">
        <f t="shared" si="30"/>
        <v>134.5</v>
      </c>
      <c r="AL208">
        <f t="shared" si="31"/>
        <v>146.19999999999999</v>
      </c>
    </row>
    <row r="209" spans="1:38" x14ac:dyDescent="0.3">
      <c r="A209" t="s">
        <v>33</v>
      </c>
      <c r="B209">
        <v>2018</v>
      </c>
      <c r="C209" t="s">
        <v>51</v>
      </c>
      <c r="D209" t="str">
        <f t="shared" si="25"/>
        <v>2018 - October</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t="s">
        <v>43</v>
      </c>
      <c r="W209">
        <v>149.69999999999999</v>
      </c>
      <c r="X209">
        <v>147.5</v>
      </c>
      <c r="Y209">
        <v>144.80000000000001</v>
      </c>
      <c r="Z209">
        <v>130.80000000000001</v>
      </c>
      <c r="AA209">
        <v>140.1</v>
      </c>
      <c r="AB209">
        <v>148</v>
      </c>
      <c r="AC209">
        <v>134.4</v>
      </c>
      <c r="AD209">
        <v>139.80000000000001</v>
      </c>
      <c r="AE209">
        <v>142.19999999999999</v>
      </c>
      <c r="AF209">
        <f t="shared" si="24"/>
        <v>1941.8</v>
      </c>
      <c r="AG209">
        <f t="shared" si="26"/>
        <v>445</v>
      </c>
      <c r="AH209">
        <f t="shared" si="27"/>
        <v>297.2</v>
      </c>
      <c r="AI209">
        <f t="shared" si="28"/>
        <v>279.20000000000005</v>
      </c>
      <c r="AJ209">
        <f t="shared" si="29"/>
        <v>130.80000000000001</v>
      </c>
      <c r="AK209">
        <f t="shared" si="30"/>
        <v>140.1</v>
      </c>
      <c r="AL209">
        <f t="shared" si="31"/>
        <v>148</v>
      </c>
    </row>
    <row r="210" spans="1:38" x14ac:dyDescent="0.3">
      <c r="A210" t="s">
        <v>36</v>
      </c>
      <c r="B210">
        <v>2018</v>
      </c>
      <c r="C210" t="s">
        <v>51</v>
      </c>
      <c r="D210" t="str">
        <f t="shared" si="25"/>
        <v>2018 - October</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c r="AF210">
        <f t="shared" si="24"/>
        <v>1918.1</v>
      </c>
      <c r="AG210">
        <f t="shared" si="26"/>
        <v>411</v>
      </c>
      <c r="AH210">
        <f t="shared" si="27"/>
        <v>414.80000000000007</v>
      </c>
      <c r="AI210">
        <f t="shared" si="28"/>
        <v>266.60000000000002</v>
      </c>
      <c r="AJ210">
        <f t="shared" si="29"/>
        <v>123.3</v>
      </c>
      <c r="AK210">
        <f t="shared" si="30"/>
        <v>130.69999999999999</v>
      </c>
      <c r="AL210">
        <f t="shared" si="31"/>
        <v>145.5</v>
      </c>
    </row>
    <row r="211" spans="1:38" x14ac:dyDescent="0.3">
      <c r="A211" t="s">
        <v>37</v>
      </c>
      <c r="B211">
        <v>2018</v>
      </c>
      <c r="C211" t="s">
        <v>51</v>
      </c>
      <c r="D211" t="str">
        <f t="shared" si="25"/>
        <v>2018 - October</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c r="AF211">
        <f t="shared" si="24"/>
        <v>1938.8</v>
      </c>
      <c r="AG211">
        <f t="shared" si="26"/>
        <v>434</v>
      </c>
      <c r="AH211">
        <f t="shared" si="27"/>
        <v>434.40000000000003</v>
      </c>
      <c r="AI211">
        <f t="shared" si="28"/>
        <v>274.10000000000002</v>
      </c>
      <c r="AJ211">
        <f t="shared" si="29"/>
        <v>125.5</v>
      </c>
      <c r="AK211">
        <f t="shared" si="30"/>
        <v>136.5</v>
      </c>
      <c r="AL211">
        <f t="shared" si="31"/>
        <v>147.80000000000001</v>
      </c>
    </row>
    <row r="212" spans="1:38" x14ac:dyDescent="0.3">
      <c r="A212" t="s">
        <v>33</v>
      </c>
      <c r="B212">
        <v>2018</v>
      </c>
      <c r="C212" t="s">
        <v>53</v>
      </c>
      <c r="D212" t="str">
        <f t="shared" si="25"/>
        <v>2018 - November</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t="s">
        <v>43</v>
      </c>
      <c r="W212">
        <v>150.30000000000001</v>
      </c>
      <c r="X212">
        <v>148</v>
      </c>
      <c r="Y212">
        <v>145.4</v>
      </c>
      <c r="Z212">
        <v>130.30000000000001</v>
      </c>
      <c r="AA212">
        <v>143.1</v>
      </c>
      <c r="AB212">
        <v>150.19999999999999</v>
      </c>
      <c r="AC212">
        <v>133.1</v>
      </c>
      <c r="AD212">
        <v>140.1</v>
      </c>
      <c r="AE212">
        <v>142.4</v>
      </c>
      <c r="AF212">
        <f t="shared" si="24"/>
        <v>1949.3999999999996</v>
      </c>
      <c r="AG212">
        <f t="shared" si="26"/>
        <v>448</v>
      </c>
      <c r="AH212">
        <f t="shared" si="27"/>
        <v>298.3</v>
      </c>
      <c r="AI212">
        <f t="shared" si="28"/>
        <v>278.5</v>
      </c>
      <c r="AJ212">
        <f t="shared" si="29"/>
        <v>130.30000000000001</v>
      </c>
      <c r="AK212">
        <f t="shared" si="30"/>
        <v>143.1</v>
      </c>
      <c r="AL212">
        <f t="shared" si="31"/>
        <v>150.19999999999999</v>
      </c>
    </row>
    <row r="213" spans="1:38" x14ac:dyDescent="0.3">
      <c r="A213" t="s">
        <v>36</v>
      </c>
      <c r="B213">
        <v>2018</v>
      </c>
      <c r="C213" t="s">
        <v>53</v>
      </c>
      <c r="D213" t="str">
        <f t="shared" si="25"/>
        <v>2018 - November</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c r="AF213">
        <f t="shared" si="24"/>
        <v>1921.8999999999999</v>
      </c>
      <c r="AG213">
        <f t="shared" si="26"/>
        <v>413.1</v>
      </c>
      <c r="AH213">
        <f t="shared" si="27"/>
        <v>419.40000000000003</v>
      </c>
      <c r="AI213">
        <f t="shared" si="28"/>
        <v>267.3</v>
      </c>
      <c r="AJ213">
        <f t="shared" si="29"/>
        <v>121.2</v>
      </c>
      <c r="AK213">
        <f t="shared" si="30"/>
        <v>131.30000000000001</v>
      </c>
      <c r="AL213">
        <f t="shared" si="31"/>
        <v>146.1</v>
      </c>
    </row>
    <row r="214" spans="1:38" x14ac:dyDescent="0.3">
      <c r="A214" t="s">
        <v>37</v>
      </c>
      <c r="B214">
        <v>2018</v>
      </c>
      <c r="C214" t="s">
        <v>53</v>
      </c>
      <c r="D214" t="str">
        <f t="shared" si="25"/>
        <v>2018 - November</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c r="AF214">
        <f t="shared" si="24"/>
        <v>1938.3000000000002</v>
      </c>
      <c r="AG214">
        <f t="shared" si="26"/>
        <v>433.8</v>
      </c>
      <c r="AH214">
        <f t="shared" si="27"/>
        <v>434.2</v>
      </c>
      <c r="AI214">
        <f t="shared" si="28"/>
        <v>274.10000000000002</v>
      </c>
      <c r="AJ214">
        <f t="shared" si="29"/>
        <v>125.5</v>
      </c>
      <c r="AK214">
        <f t="shared" si="30"/>
        <v>136.5</v>
      </c>
      <c r="AL214">
        <f t="shared" si="31"/>
        <v>147.80000000000001</v>
      </c>
    </row>
    <row r="215" spans="1:38" x14ac:dyDescent="0.3">
      <c r="A215" t="s">
        <v>33</v>
      </c>
      <c r="B215">
        <v>2018</v>
      </c>
      <c r="C215" t="s">
        <v>54</v>
      </c>
      <c r="D215" t="str">
        <f t="shared" si="25"/>
        <v>2018 - December</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t="s">
        <v>43</v>
      </c>
      <c r="W215">
        <v>149</v>
      </c>
      <c r="X215">
        <v>149.5</v>
      </c>
      <c r="Y215">
        <v>149.6</v>
      </c>
      <c r="Z215">
        <v>128.9</v>
      </c>
      <c r="AA215">
        <v>143.30000000000001</v>
      </c>
      <c r="AB215">
        <v>155.1</v>
      </c>
      <c r="AC215">
        <v>133.19999999999999</v>
      </c>
      <c r="AD215">
        <v>141.6</v>
      </c>
      <c r="AE215">
        <v>141.9</v>
      </c>
      <c r="AF215">
        <f t="shared" si="24"/>
        <v>1935.5000000000002</v>
      </c>
      <c r="AG215">
        <f t="shared" si="26"/>
        <v>448.3</v>
      </c>
      <c r="AH215">
        <f t="shared" si="27"/>
        <v>298.5</v>
      </c>
      <c r="AI215">
        <f t="shared" si="28"/>
        <v>282.79999999999995</v>
      </c>
      <c r="AJ215">
        <f t="shared" si="29"/>
        <v>128.9</v>
      </c>
      <c r="AK215">
        <f t="shared" si="30"/>
        <v>143.30000000000001</v>
      </c>
      <c r="AL215">
        <f t="shared" si="31"/>
        <v>155.1</v>
      </c>
    </row>
    <row r="216" spans="1:38" x14ac:dyDescent="0.3">
      <c r="A216" t="s">
        <v>36</v>
      </c>
      <c r="B216">
        <v>2018</v>
      </c>
      <c r="C216" t="s">
        <v>54</v>
      </c>
      <c r="D216" t="str">
        <f t="shared" si="25"/>
        <v>2018 - December</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c r="AF216">
        <f t="shared" si="24"/>
        <v>1911.1999999999998</v>
      </c>
      <c r="AG216">
        <f t="shared" si="26"/>
        <v>413.8</v>
      </c>
      <c r="AH216">
        <f t="shared" si="27"/>
        <v>415.09999999999997</v>
      </c>
      <c r="AI216">
        <f t="shared" si="28"/>
        <v>268.10000000000002</v>
      </c>
      <c r="AJ216">
        <f t="shared" si="29"/>
        <v>118.8</v>
      </c>
      <c r="AK216">
        <f t="shared" si="30"/>
        <v>131.69999999999999</v>
      </c>
      <c r="AL216">
        <f t="shared" si="31"/>
        <v>146.5</v>
      </c>
    </row>
    <row r="217" spans="1:38" x14ac:dyDescent="0.3">
      <c r="A217" t="s">
        <v>37</v>
      </c>
      <c r="B217">
        <v>2018</v>
      </c>
      <c r="C217" t="s">
        <v>54</v>
      </c>
      <c r="D217" t="str">
        <f t="shared" si="25"/>
        <v>2018 - December</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c r="AF217">
        <f t="shared" si="24"/>
        <v>1925.7999999999997</v>
      </c>
      <c r="AG217">
        <f t="shared" si="26"/>
        <v>434.3</v>
      </c>
      <c r="AH217">
        <f t="shared" si="27"/>
        <v>432.4</v>
      </c>
      <c r="AI217">
        <f t="shared" si="28"/>
        <v>277.10000000000002</v>
      </c>
      <c r="AJ217">
        <f t="shared" si="29"/>
        <v>123.6</v>
      </c>
      <c r="AK217">
        <f t="shared" si="30"/>
        <v>136.80000000000001</v>
      </c>
      <c r="AL217">
        <f t="shared" si="31"/>
        <v>150.1</v>
      </c>
    </row>
    <row r="218" spans="1:38" x14ac:dyDescent="0.3">
      <c r="A218" t="s">
        <v>33</v>
      </c>
      <c r="B218">
        <v>2019</v>
      </c>
      <c r="C218" t="s">
        <v>42</v>
      </c>
      <c r="D218" t="str">
        <f t="shared" si="25"/>
        <v>2019 - January</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t="s">
        <v>43</v>
      </c>
      <c r="W218">
        <v>146.19999999999999</v>
      </c>
      <c r="X218">
        <v>150.1</v>
      </c>
      <c r="Y218">
        <v>149.6</v>
      </c>
      <c r="Z218">
        <v>128.6</v>
      </c>
      <c r="AA218">
        <v>142.9</v>
      </c>
      <c r="AB218">
        <v>155.19999999999999</v>
      </c>
      <c r="AC218">
        <v>133.5</v>
      </c>
      <c r="AD218">
        <v>141.69999999999999</v>
      </c>
      <c r="AE218">
        <v>141</v>
      </c>
      <c r="AF218">
        <f t="shared" si="24"/>
        <v>1922.3000000000002</v>
      </c>
      <c r="AG218">
        <f t="shared" si="26"/>
        <v>445.6</v>
      </c>
      <c r="AH218">
        <f t="shared" si="27"/>
        <v>296.29999999999995</v>
      </c>
      <c r="AI218">
        <f t="shared" si="28"/>
        <v>283.10000000000002</v>
      </c>
      <c r="AJ218">
        <f t="shared" si="29"/>
        <v>128.6</v>
      </c>
      <c r="AK218">
        <f t="shared" si="30"/>
        <v>142.9</v>
      </c>
      <c r="AL218">
        <f t="shared" si="31"/>
        <v>155.19999999999999</v>
      </c>
    </row>
    <row r="219" spans="1:38" x14ac:dyDescent="0.3">
      <c r="A219" t="s">
        <v>36</v>
      </c>
      <c r="B219">
        <v>2019</v>
      </c>
      <c r="C219" t="s">
        <v>42</v>
      </c>
      <c r="D219" t="str">
        <f t="shared" si="25"/>
        <v>2019 - January</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c r="AF219">
        <f t="shared" si="24"/>
        <v>1909.0000000000002</v>
      </c>
      <c r="AG219">
        <f t="shared" si="26"/>
        <v>414.5</v>
      </c>
      <c r="AH219">
        <f t="shared" si="27"/>
        <v>412.59999999999997</v>
      </c>
      <c r="AI219">
        <f t="shared" si="28"/>
        <v>269.5</v>
      </c>
      <c r="AJ219">
        <f t="shared" si="29"/>
        <v>118.6</v>
      </c>
      <c r="AK219">
        <f t="shared" si="30"/>
        <v>131.9</v>
      </c>
      <c r="AL219">
        <f t="shared" si="31"/>
        <v>146.6</v>
      </c>
    </row>
    <row r="220" spans="1:38" x14ac:dyDescent="0.3">
      <c r="A220" t="s">
        <v>37</v>
      </c>
      <c r="B220">
        <v>2019</v>
      </c>
      <c r="C220" t="s">
        <v>42</v>
      </c>
      <c r="D220" t="str">
        <f t="shared" si="25"/>
        <v>2019 - January</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c r="AF220">
        <f t="shared" si="24"/>
        <v>1916.6</v>
      </c>
      <c r="AG220">
        <f t="shared" si="26"/>
        <v>433</v>
      </c>
      <c r="AH220">
        <f t="shared" si="27"/>
        <v>430.79999999999995</v>
      </c>
      <c r="AI220">
        <f t="shared" si="28"/>
        <v>277.89999999999998</v>
      </c>
      <c r="AJ220">
        <f t="shared" si="29"/>
        <v>123.3</v>
      </c>
      <c r="AK220">
        <f t="shared" si="30"/>
        <v>136.69999999999999</v>
      </c>
      <c r="AL220">
        <f t="shared" si="31"/>
        <v>150.19999999999999</v>
      </c>
    </row>
    <row r="221" spans="1:38" x14ac:dyDescent="0.3">
      <c r="A221" t="s">
        <v>33</v>
      </c>
      <c r="B221">
        <v>2019</v>
      </c>
      <c r="C221" t="s">
        <v>44</v>
      </c>
      <c r="D221" t="str">
        <f t="shared" si="25"/>
        <v>2019 - February</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t="s">
        <v>43</v>
      </c>
      <c r="W221">
        <v>145.30000000000001</v>
      </c>
      <c r="X221">
        <v>150.1</v>
      </c>
      <c r="Y221">
        <v>149.9</v>
      </c>
      <c r="Z221">
        <v>129.19999999999999</v>
      </c>
      <c r="AA221">
        <v>143.4</v>
      </c>
      <c r="AB221">
        <v>155.5</v>
      </c>
      <c r="AC221">
        <v>134.9</v>
      </c>
      <c r="AD221">
        <v>142.19999999999999</v>
      </c>
      <c r="AE221">
        <v>141</v>
      </c>
      <c r="AF221">
        <f t="shared" si="24"/>
        <v>1922.6000000000001</v>
      </c>
      <c r="AG221">
        <f t="shared" si="26"/>
        <v>446.5</v>
      </c>
      <c r="AH221">
        <f t="shared" si="27"/>
        <v>295.39999999999998</v>
      </c>
      <c r="AI221">
        <f t="shared" si="28"/>
        <v>284.8</v>
      </c>
      <c r="AJ221">
        <f t="shared" si="29"/>
        <v>129.19999999999999</v>
      </c>
      <c r="AK221">
        <f t="shared" si="30"/>
        <v>143.4</v>
      </c>
      <c r="AL221">
        <f t="shared" si="31"/>
        <v>155.5</v>
      </c>
    </row>
    <row r="222" spans="1:38" x14ac:dyDescent="0.3">
      <c r="A222" t="s">
        <v>36</v>
      </c>
      <c r="B222">
        <v>2019</v>
      </c>
      <c r="C222" t="s">
        <v>44</v>
      </c>
      <c r="D222" t="str">
        <f t="shared" si="25"/>
        <v>2019 - February</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c r="AF222">
        <f t="shared" si="24"/>
        <v>1919.3000000000002</v>
      </c>
      <c r="AG222">
        <f t="shared" si="26"/>
        <v>415.5</v>
      </c>
      <c r="AH222">
        <f t="shared" si="27"/>
        <v>412.20000000000005</v>
      </c>
      <c r="AI222">
        <f t="shared" si="28"/>
        <v>271.5</v>
      </c>
      <c r="AJ222">
        <f t="shared" si="29"/>
        <v>119.2</v>
      </c>
      <c r="AK222">
        <f t="shared" si="30"/>
        <v>132.19999999999999</v>
      </c>
      <c r="AL222">
        <f t="shared" si="31"/>
        <v>146.6</v>
      </c>
    </row>
    <row r="223" spans="1:38" x14ac:dyDescent="0.3">
      <c r="A223" t="s">
        <v>37</v>
      </c>
      <c r="B223">
        <v>2019</v>
      </c>
      <c r="C223" t="s">
        <v>44</v>
      </c>
      <c r="D223" t="str">
        <f t="shared" si="25"/>
        <v>2019 - February</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c r="AF223">
        <f t="shared" si="24"/>
        <v>1920.5</v>
      </c>
      <c r="AG223">
        <f t="shared" si="26"/>
        <v>433.9</v>
      </c>
      <c r="AH223">
        <f t="shared" si="27"/>
        <v>430.59999999999997</v>
      </c>
      <c r="AI223">
        <f t="shared" si="28"/>
        <v>279.7</v>
      </c>
      <c r="AJ223">
        <f t="shared" si="29"/>
        <v>123.9</v>
      </c>
      <c r="AK223">
        <f t="shared" si="30"/>
        <v>137.1</v>
      </c>
      <c r="AL223">
        <f t="shared" si="31"/>
        <v>150.30000000000001</v>
      </c>
    </row>
    <row r="224" spans="1:38" x14ac:dyDescent="0.3">
      <c r="A224" t="s">
        <v>33</v>
      </c>
      <c r="B224">
        <v>2019</v>
      </c>
      <c r="C224" t="s">
        <v>45</v>
      </c>
      <c r="D224" t="str">
        <f t="shared" si="25"/>
        <v>2019 - March</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t="s">
        <v>43</v>
      </c>
      <c r="W224">
        <v>146.4</v>
      </c>
      <c r="X224">
        <v>150</v>
      </c>
      <c r="Y224">
        <v>150.4</v>
      </c>
      <c r="Z224">
        <v>129.9</v>
      </c>
      <c r="AA224">
        <v>143.80000000000001</v>
      </c>
      <c r="AB224">
        <v>155.5</v>
      </c>
      <c r="AC224">
        <v>134</v>
      </c>
      <c r="AD224">
        <v>142.4</v>
      </c>
      <c r="AE224">
        <v>141.19999999999999</v>
      </c>
      <c r="AF224">
        <f t="shared" si="24"/>
        <v>1924.1000000000004</v>
      </c>
      <c r="AG224">
        <f t="shared" si="26"/>
        <v>447</v>
      </c>
      <c r="AH224">
        <f t="shared" si="27"/>
        <v>296.39999999999998</v>
      </c>
      <c r="AI224">
        <f t="shared" si="28"/>
        <v>284.39999999999998</v>
      </c>
      <c r="AJ224">
        <f t="shared" si="29"/>
        <v>129.9</v>
      </c>
      <c r="AK224">
        <f t="shared" si="30"/>
        <v>143.80000000000001</v>
      </c>
      <c r="AL224">
        <f t="shared" si="31"/>
        <v>155.5</v>
      </c>
    </row>
    <row r="225" spans="1:38" x14ac:dyDescent="0.3">
      <c r="A225" t="s">
        <v>36</v>
      </c>
      <c r="B225">
        <v>2019</v>
      </c>
      <c r="C225" t="s">
        <v>45</v>
      </c>
      <c r="D225" t="str">
        <f t="shared" si="25"/>
        <v>2019 - March</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c r="AF225">
        <f t="shared" si="24"/>
        <v>1933.7</v>
      </c>
      <c r="AG225">
        <f t="shared" si="26"/>
        <v>416.29999999999995</v>
      </c>
      <c r="AH225">
        <f t="shared" si="27"/>
        <v>414.6</v>
      </c>
      <c r="AI225">
        <f t="shared" si="28"/>
        <v>271.7</v>
      </c>
      <c r="AJ225">
        <f t="shared" si="29"/>
        <v>119.9</v>
      </c>
      <c r="AK225">
        <f t="shared" si="30"/>
        <v>133</v>
      </c>
      <c r="AL225">
        <f t="shared" si="31"/>
        <v>146.69999999999999</v>
      </c>
    </row>
    <row r="226" spans="1:38" x14ac:dyDescent="0.3">
      <c r="A226" t="s">
        <v>37</v>
      </c>
      <c r="B226">
        <v>2019</v>
      </c>
      <c r="C226" t="s">
        <v>45</v>
      </c>
      <c r="D226" t="str">
        <f t="shared" si="25"/>
        <v>2019 - March</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c r="AF226">
        <f t="shared" si="24"/>
        <v>1926.4</v>
      </c>
      <c r="AG226">
        <f t="shared" si="26"/>
        <v>434.5</v>
      </c>
      <c r="AH226">
        <f t="shared" si="27"/>
        <v>432.5</v>
      </c>
      <c r="AI226">
        <f t="shared" si="28"/>
        <v>279.60000000000002</v>
      </c>
      <c r="AJ226">
        <f t="shared" si="29"/>
        <v>124.6</v>
      </c>
      <c r="AK226">
        <f t="shared" si="30"/>
        <v>137.69999999999999</v>
      </c>
      <c r="AL226">
        <f t="shared" si="31"/>
        <v>150.30000000000001</v>
      </c>
    </row>
    <row r="227" spans="1:38" x14ac:dyDescent="0.3">
      <c r="A227" t="s">
        <v>33</v>
      </c>
      <c r="B227">
        <v>2019</v>
      </c>
      <c r="C227" t="s">
        <v>34</v>
      </c>
      <c r="D227" t="str">
        <f t="shared" si="25"/>
        <v>2019 - May</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t="s">
        <v>43</v>
      </c>
      <c r="W227">
        <v>146.9</v>
      </c>
      <c r="X227">
        <v>149.5</v>
      </c>
      <c r="Y227">
        <v>151.30000000000001</v>
      </c>
      <c r="Z227">
        <v>130.19999999999999</v>
      </c>
      <c r="AA227">
        <v>145.9</v>
      </c>
      <c r="AB227">
        <v>156.69999999999999</v>
      </c>
      <c r="AC227">
        <v>133.9</v>
      </c>
      <c r="AD227">
        <v>142.9</v>
      </c>
      <c r="AE227">
        <v>142.4</v>
      </c>
      <c r="AF227">
        <f t="shared" si="24"/>
        <v>1945.4</v>
      </c>
      <c r="AG227">
        <f t="shared" si="26"/>
        <v>448.59999999999997</v>
      </c>
      <c r="AH227">
        <f t="shared" si="27"/>
        <v>296.39999999999998</v>
      </c>
      <c r="AI227">
        <f t="shared" si="28"/>
        <v>285.20000000000005</v>
      </c>
      <c r="AJ227">
        <f t="shared" si="29"/>
        <v>130.19999999999999</v>
      </c>
      <c r="AK227">
        <f t="shared" si="30"/>
        <v>145.9</v>
      </c>
      <c r="AL227">
        <f t="shared" si="31"/>
        <v>156.69999999999999</v>
      </c>
    </row>
    <row r="228" spans="1:38" x14ac:dyDescent="0.3">
      <c r="A228" t="s">
        <v>36</v>
      </c>
      <c r="B228">
        <v>2019</v>
      </c>
      <c r="C228" t="s">
        <v>34</v>
      </c>
      <c r="D228" t="str">
        <f t="shared" si="25"/>
        <v>2019 - May</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c r="AF228">
        <f t="shared" si="24"/>
        <v>1977.7000000000003</v>
      </c>
      <c r="AG228">
        <f t="shared" si="26"/>
        <v>417.9</v>
      </c>
      <c r="AH228">
        <f t="shared" si="27"/>
        <v>416.7</v>
      </c>
      <c r="AI228">
        <f t="shared" si="28"/>
        <v>272.39999999999998</v>
      </c>
      <c r="AJ228">
        <f t="shared" si="29"/>
        <v>120.1</v>
      </c>
      <c r="AK228">
        <f t="shared" si="30"/>
        <v>134</v>
      </c>
      <c r="AL228">
        <f t="shared" si="31"/>
        <v>148</v>
      </c>
    </row>
    <row r="229" spans="1:38" x14ac:dyDescent="0.3">
      <c r="A229" t="s">
        <v>37</v>
      </c>
      <c r="B229">
        <v>2019</v>
      </c>
      <c r="C229" t="s">
        <v>34</v>
      </c>
      <c r="D229" t="str">
        <f t="shared" si="25"/>
        <v>2019 - May</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c r="AF229">
        <f t="shared" si="24"/>
        <v>1956.0000000000002</v>
      </c>
      <c r="AG229">
        <f t="shared" si="26"/>
        <v>436.1</v>
      </c>
      <c r="AH229">
        <f t="shared" si="27"/>
        <v>434.09999999999997</v>
      </c>
      <c r="AI229">
        <f t="shared" si="28"/>
        <v>280.3</v>
      </c>
      <c r="AJ229">
        <f t="shared" si="29"/>
        <v>124.9</v>
      </c>
      <c r="AK229">
        <f t="shared" si="30"/>
        <v>139.19999999999999</v>
      </c>
      <c r="AL229">
        <f t="shared" si="31"/>
        <v>151.6</v>
      </c>
    </row>
    <row r="230" spans="1:38" x14ac:dyDescent="0.3">
      <c r="A230" t="s">
        <v>33</v>
      </c>
      <c r="B230">
        <v>2019</v>
      </c>
      <c r="C230" t="s">
        <v>47</v>
      </c>
      <c r="D230" t="str">
        <f t="shared" si="25"/>
        <v>2019 - June</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t="s">
        <v>43</v>
      </c>
      <c r="W230">
        <v>147.80000000000001</v>
      </c>
      <c r="X230">
        <v>149.6</v>
      </c>
      <c r="Y230">
        <v>151.69999999999999</v>
      </c>
      <c r="Z230">
        <v>130.19999999999999</v>
      </c>
      <c r="AA230">
        <v>146.4</v>
      </c>
      <c r="AB230">
        <v>157.69999999999999</v>
      </c>
      <c r="AC230">
        <v>134.80000000000001</v>
      </c>
      <c r="AD230">
        <v>143.30000000000001</v>
      </c>
      <c r="AE230">
        <v>143.6</v>
      </c>
      <c r="AF230">
        <f t="shared" si="24"/>
        <v>1968.3999999999999</v>
      </c>
      <c r="AG230">
        <f t="shared" si="26"/>
        <v>448.59999999999997</v>
      </c>
      <c r="AH230">
        <f t="shared" si="27"/>
        <v>297.39999999999998</v>
      </c>
      <c r="AI230">
        <f t="shared" si="28"/>
        <v>286.5</v>
      </c>
      <c r="AJ230">
        <f t="shared" si="29"/>
        <v>130.19999999999999</v>
      </c>
      <c r="AK230">
        <f t="shared" si="30"/>
        <v>146.4</v>
      </c>
      <c r="AL230">
        <f t="shared" si="31"/>
        <v>157.69999999999999</v>
      </c>
    </row>
    <row r="231" spans="1:38" x14ac:dyDescent="0.3">
      <c r="A231" t="s">
        <v>36</v>
      </c>
      <c r="B231">
        <v>2019</v>
      </c>
      <c r="C231" t="s">
        <v>47</v>
      </c>
      <c r="D231" t="str">
        <f t="shared" si="25"/>
        <v>2019 - June</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c r="AF231">
        <f t="shared" si="24"/>
        <v>1999.9999999999998</v>
      </c>
      <c r="AG231">
        <f t="shared" si="26"/>
        <v>418.4</v>
      </c>
      <c r="AH231">
        <f t="shared" si="27"/>
        <v>417.29999999999995</v>
      </c>
      <c r="AI231">
        <f t="shared" si="28"/>
        <v>274</v>
      </c>
      <c r="AJ231">
        <f t="shared" si="29"/>
        <v>119.6</v>
      </c>
      <c r="AK231">
        <f t="shared" si="30"/>
        <v>134.30000000000001</v>
      </c>
      <c r="AL231">
        <f t="shared" si="31"/>
        <v>148.9</v>
      </c>
    </row>
    <row r="232" spans="1:38" x14ac:dyDescent="0.3">
      <c r="A232" t="s">
        <v>37</v>
      </c>
      <c r="B232">
        <v>2019</v>
      </c>
      <c r="C232" t="s">
        <v>47</v>
      </c>
      <c r="D232" t="str">
        <f t="shared" si="25"/>
        <v>2019 - June</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c r="AF232">
        <f t="shared" si="24"/>
        <v>1979.0000000000002</v>
      </c>
      <c r="AG232">
        <f t="shared" si="26"/>
        <v>436.4</v>
      </c>
      <c r="AH232">
        <f t="shared" si="27"/>
        <v>434.40000000000003</v>
      </c>
      <c r="AI232">
        <f t="shared" si="28"/>
        <v>281.70000000000005</v>
      </c>
      <c r="AJ232">
        <f t="shared" si="29"/>
        <v>124.6</v>
      </c>
      <c r="AK232">
        <f t="shared" si="30"/>
        <v>139.6</v>
      </c>
      <c r="AL232">
        <f t="shared" si="31"/>
        <v>152.5</v>
      </c>
    </row>
    <row r="233" spans="1:38" x14ac:dyDescent="0.3">
      <c r="A233" t="s">
        <v>33</v>
      </c>
      <c r="B233">
        <v>2019</v>
      </c>
      <c r="C233" t="s">
        <v>48</v>
      </c>
      <c r="D233" t="str">
        <f t="shared" si="25"/>
        <v>2019 - July</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t="s">
        <v>43</v>
      </c>
      <c r="W233">
        <v>146.80000000000001</v>
      </c>
      <c r="X233">
        <v>150</v>
      </c>
      <c r="Y233">
        <v>152.19999999999999</v>
      </c>
      <c r="Z233">
        <v>131.19999999999999</v>
      </c>
      <c r="AA233">
        <v>147.5</v>
      </c>
      <c r="AB233">
        <v>159.1</v>
      </c>
      <c r="AC233">
        <v>136.1</v>
      </c>
      <c r="AD233">
        <v>144.19999999999999</v>
      </c>
      <c r="AE233">
        <v>144.9</v>
      </c>
      <c r="AF233">
        <f t="shared" si="24"/>
        <v>1991.3999999999999</v>
      </c>
      <c r="AG233">
        <f t="shared" si="26"/>
        <v>449.1</v>
      </c>
      <c r="AH233">
        <f t="shared" si="27"/>
        <v>296.8</v>
      </c>
      <c r="AI233">
        <f t="shared" si="28"/>
        <v>288.29999999999995</v>
      </c>
      <c r="AJ233">
        <f t="shared" si="29"/>
        <v>131.19999999999999</v>
      </c>
      <c r="AK233">
        <f t="shared" si="30"/>
        <v>147.5</v>
      </c>
      <c r="AL233">
        <f t="shared" si="31"/>
        <v>159.1</v>
      </c>
    </row>
    <row r="234" spans="1:38" x14ac:dyDescent="0.3">
      <c r="A234" t="s">
        <v>36</v>
      </c>
      <c r="B234">
        <v>2019</v>
      </c>
      <c r="C234" t="s">
        <v>48</v>
      </c>
      <c r="D234" t="str">
        <f t="shared" si="25"/>
        <v>2019 - July</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c r="AF234">
        <f t="shared" si="24"/>
        <v>2024.6</v>
      </c>
      <c r="AG234">
        <f t="shared" si="26"/>
        <v>419.3</v>
      </c>
      <c r="AH234">
        <f t="shared" si="27"/>
        <v>415.3</v>
      </c>
      <c r="AI234">
        <f t="shared" si="28"/>
        <v>275.89999999999998</v>
      </c>
      <c r="AJ234">
        <f t="shared" si="29"/>
        <v>120.6</v>
      </c>
      <c r="AK234">
        <f t="shared" si="30"/>
        <v>135</v>
      </c>
      <c r="AL234">
        <f t="shared" si="31"/>
        <v>150.4</v>
      </c>
    </row>
    <row r="235" spans="1:38" x14ac:dyDescent="0.3">
      <c r="A235" t="s">
        <v>37</v>
      </c>
      <c r="B235">
        <v>2019</v>
      </c>
      <c r="C235" t="s">
        <v>48</v>
      </c>
      <c r="D235" t="str">
        <f t="shared" si="25"/>
        <v>2019 - July</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c r="AF235">
        <f t="shared" si="24"/>
        <v>2002.7</v>
      </c>
      <c r="AG235">
        <f t="shared" si="26"/>
        <v>437</v>
      </c>
      <c r="AH235">
        <f t="shared" si="27"/>
        <v>434.09999999999997</v>
      </c>
      <c r="AI235">
        <f t="shared" si="28"/>
        <v>283.60000000000002</v>
      </c>
      <c r="AJ235">
        <f t="shared" si="29"/>
        <v>125.6</v>
      </c>
      <c r="AK235">
        <f t="shared" si="30"/>
        <v>140.5</v>
      </c>
      <c r="AL235">
        <f t="shared" si="31"/>
        <v>154</v>
      </c>
    </row>
    <row r="236" spans="1:38" x14ac:dyDescent="0.3">
      <c r="A236" t="s">
        <v>33</v>
      </c>
      <c r="B236">
        <v>2019</v>
      </c>
      <c r="C236" t="s">
        <v>49</v>
      </c>
      <c r="D236" t="str">
        <f t="shared" si="25"/>
        <v>2019 - August</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t="s">
        <v>43</v>
      </c>
      <c r="W236">
        <v>146.4</v>
      </c>
      <c r="X236">
        <v>150.19999999999999</v>
      </c>
      <c r="Y236">
        <v>152.69999999999999</v>
      </c>
      <c r="Z236">
        <v>131.4</v>
      </c>
      <c r="AA236">
        <v>148</v>
      </c>
      <c r="AB236">
        <v>159.69999999999999</v>
      </c>
      <c r="AC236">
        <v>138.80000000000001</v>
      </c>
      <c r="AD236">
        <v>144.9</v>
      </c>
      <c r="AE236">
        <v>145.69999999999999</v>
      </c>
      <c r="AF236">
        <f t="shared" si="24"/>
        <v>1999.6000000000001</v>
      </c>
      <c r="AG236">
        <f t="shared" si="26"/>
        <v>449.5</v>
      </c>
      <c r="AH236">
        <f t="shared" si="27"/>
        <v>296.60000000000002</v>
      </c>
      <c r="AI236">
        <f t="shared" si="28"/>
        <v>291.5</v>
      </c>
      <c r="AJ236">
        <f t="shared" si="29"/>
        <v>131.4</v>
      </c>
      <c r="AK236">
        <f t="shared" si="30"/>
        <v>148</v>
      </c>
      <c r="AL236">
        <f t="shared" si="31"/>
        <v>159.69999999999999</v>
      </c>
    </row>
    <row r="237" spans="1:38" x14ac:dyDescent="0.3">
      <c r="A237" t="s">
        <v>36</v>
      </c>
      <c r="B237">
        <v>2019</v>
      </c>
      <c r="C237" t="s">
        <v>49</v>
      </c>
      <c r="D237" t="str">
        <f t="shared" si="25"/>
        <v>2019 - August</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c r="AF237">
        <f t="shared" si="24"/>
        <v>2037</v>
      </c>
      <c r="AG237">
        <f t="shared" si="26"/>
        <v>420.2</v>
      </c>
      <c r="AH237">
        <f t="shared" si="27"/>
        <v>415.20000000000005</v>
      </c>
      <c r="AI237">
        <f t="shared" si="28"/>
        <v>279.3</v>
      </c>
      <c r="AJ237">
        <f t="shared" si="29"/>
        <v>120.8</v>
      </c>
      <c r="AK237">
        <f t="shared" si="30"/>
        <v>135.4</v>
      </c>
      <c r="AL237">
        <f t="shared" si="31"/>
        <v>151.5</v>
      </c>
    </row>
    <row r="238" spans="1:38" x14ac:dyDescent="0.3">
      <c r="A238" t="s">
        <v>37</v>
      </c>
      <c r="B238">
        <v>2019</v>
      </c>
      <c r="C238" t="s">
        <v>49</v>
      </c>
      <c r="D238" t="str">
        <f t="shared" si="25"/>
        <v>2019 - August</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c r="AF238">
        <f t="shared" si="24"/>
        <v>2012.3</v>
      </c>
      <c r="AG238">
        <f t="shared" si="26"/>
        <v>437.6</v>
      </c>
      <c r="AH238">
        <f t="shared" si="27"/>
        <v>434.6</v>
      </c>
      <c r="AI238">
        <f t="shared" si="28"/>
        <v>286.89999999999998</v>
      </c>
      <c r="AJ238">
        <f t="shared" si="29"/>
        <v>125.8</v>
      </c>
      <c r="AK238">
        <f t="shared" si="30"/>
        <v>140.9</v>
      </c>
      <c r="AL238">
        <f t="shared" si="31"/>
        <v>154.9</v>
      </c>
    </row>
    <row r="239" spans="1:38" x14ac:dyDescent="0.3">
      <c r="A239" t="s">
        <v>33</v>
      </c>
      <c r="B239">
        <v>2019</v>
      </c>
      <c r="C239" t="s">
        <v>50</v>
      </c>
      <c r="D239" t="str">
        <f t="shared" si="25"/>
        <v>2019 - September</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t="s">
        <v>43</v>
      </c>
      <c r="W239">
        <v>146.9</v>
      </c>
      <c r="X239">
        <v>150.30000000000001</v>
      </c>
      <c r="Y239">
        <v>153.4</v>
      </c>
      <c r="Z239">
        <v>131.6</v>
      </c>
      <c r="AA239">
        <v>148.30000000000001</v>
      </c>
      <c r="AB239">
        <v>160.19999999999999</v>
      </c>
      <c r="AC239">
        <v>140.19999999999999</v>
      </c>
      <c r="AD239">
        <v>145.4</v>
      </c>
      <c r="AE239">
        <v>146.69999999999999</v>
      </c>
      <c r="AF239">
        <f t="shared" si="24"/>
        <v>2014.4</v>
      </c>
      <c r="AG239">
        <f t="shared" si="26"/>
        <v>449.29999999999995</v>
      </c>
      <c r="AH239">
        <f t="shared" si="27"/>
        <v>297.20000000000005</v>
      </c>
      <c r="AI239">
        <f t="shared" si="28"/>
        <v>293.60000000000002</v>
      </c>
      <c r="AJ239">
        <f t="shared" si="29"/>
        <v>131.6</v>
      </c>
      <c r="AK239">
        <f t="shared" si="30"/>
        <v>148.30000000000001</v>
      </c>
      <c r="AL239">
        <f t="shared" si="31"/>
        <v>160.19999999999999</v>
      </c>
    </row>
    <row r="240" spans="1:38" x14ac:dyDescent="0.3">
      <c r="A240" t="s">
        <v>36</v>
      </c>
      <c r="B240">
        <v>2019</v>
      </c>
      <c r="C240" t="s">
        <v>50</v>
      </c>
      <c r="D240" t="str">
        <f t="shared" si="25"/>
        <v>2019 - September</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c r="AF240">
        <f t="shared" si="24"/>
        <v>2043.5</v>
      </c>
      <c r="AG240">
        <f t="shared" si="26"/>
        <v>420.8</v>
      </c>
      <c r="AH240">
        <f t="shared" si="27"/>
        <v>417.09999999999997</v>
      </c>
      <c r="AI240">
        <f t="shared" si="28"/>
        <v>280.89999999999998</v>
      </c>
      <c r="AJ240">
        <f t="shared" si="29"/>
        <v>121.2</v>
      </c>
      <c r="AK240">
        <f t="shared" si="30"/>
        <v>135.9</v>
      </c>
      <c r="AL240">
        <f t="shared" si="31"/>
        <v>151.6</v>
      </c>
    </row>
    <row r="241" spans="1:38" x14ac:dyDescent="0.3">
      <c r="A241" t="s">
        <v>37</v>
      </c>
      <c r="B241">
        <v>2019</v>
      </c>
      <c r="C241" t="s">
        <v>50</v>
      </c>
      <c r="D241" t="str">
        <f t="shared" si="25"/>
        <v>2019 - September</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c r="AF241">
        <f t="shared" si="24"/>
        <v>2024.1999999999998</v>
      </c>
      <c r="AG241">
        <f t="shared" si="26"/>
        <v>437.69999999999993</v>
      </c>
      <c r="AH241">
        <f t="shared" si="27"/>
        <v>436</v>
      </c>
      <c r="AI241">
        <f t="shared" si="28"/>
        <v>288.7</v>
      </c>
      <c r="AJ241">
        <f t="shared" si="29"/>
        <v>126.1</v>
      </c>
      <c r="AK241">
        <f t="shared" si="30"/>
        <v>141.30000000000001</v>
      </c>
      <c r="AL241">
        <f t="shared" si="31"/>
        <v>155.19999999999999</v>
      </c>
    </row>
    <row r="242" spans="1:38" x14ac:dyDescent="0.3">
      <c r="A242" t="s">
        <v>33</v>
      </c>
      <c r="B242">
        <v>2019</v>
      </c>
      <c r="C242" t="s">
        <v>51</v>
      </c>
      <c r="D242" t="str">
        <f t="shared" si="25"/>
        <v>2019 - October</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t="s">
        <v>43</v>
      </c>
      <c r="W242">
        <v>147.69999999999999</v>
      </c>
      <c r="X242">
        <v>150.6</v>
      </c>
      <c r="Y242">
        <v>153.69999999999999</v>
      </c>
      <c r="Z242">
        <v>131.69999999999999</v>
      </c>
      <c r="AA242">
        <v>148.69999999999999</v>
      </c>
      <c r="AB242">
        <v>160.69999999999999</v>
      </c>
      <c r="AC242">
        <v>140.30000000000001</v>
      </c>
      <c r="AD242">
        <v>145.69999999999999</v>
      </c>
      <c r="AE242">
        <v>148.30000000000001</v>
      </c>
      <c r="AF242">
        <f t="shared" si="24"/>
        <v>2043.1999999999996</v>
      </c>
      <c r="AG242">
        <f t="shared" si="26"/>
        <v>449.4</v>
      </c>
      <c r="AH242">
        <f t="shared" si="27"/>
        <v>298.29999999999995</v>
      </c>
      <c r="AI242">
        <f t="shared" si="28"/>
        <v>294</v>
      </c>
      <c r="AJ242">
        <f t="shared" si="29"/>
        <v>131.69999999999999</v>
      </c>
      <c r="AK242">
        <f t="shared" si="30"/>
        <v>148.69999999999999</v>
      </c>
      <c r="AL242">
        <f t="shared" si="31"/>
        <v>160.69999999999999</v>
      </c>
    </row>
    <row r="243" spans="1:38" x14ac:dyDescent="0.3">
      <c r="A243" t="s">
        <v>36</v>
      </c>
      <c r="B243">
        <v>2019</v>
      </c>
      <c r="C243" t="s">
        <v>51</v>
      </c>
      <c r="D243" t="str">
        <f t="shared" si="25"/>
        <v>2019 - October</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c r="AF243">
        <f t="shared" si="24"/>
        <v>2071.9</v>
      </c>
      <c r="AG243">
        <f t="shared" si="26"/>
        <v>422.20000000000005</v>
      </c>
      <c r="AH243">
        <f t="shared" si="27"/>
        <v>420.59999999999997</v>
      </c>
      <c r="AI243">
        <f t="shared" si="28"/>
        <v>281.89999999999998</v>
      </c>
      <c r="AJ243">
        <f t="shared" si="29"/>
        <v>121.5</v>
      </c>
      <c r="AK243">
        <f t="shared" si="30"/>
        <v>136.19999999999999</v>
      </c>
      <c r="AL243">
        <f t="shared" si="31"/>
        <v>151.69999999999999</v>
      </c>
    </row>
    <row r="244" spans="1:38" x14ac:dyDescent="0.3">
      <c r="A244" t="s">
        <v>37</v>
      </c>
      <c r="B244">
        <v>2019</v>
      </c>
      <c r="C244" t="s">
        <v>51</v>
      </c>
      <c r="D244" t="str">
        <f t="shared" si="25"/>
        <v>2019 - October</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c r="AF244">
        <f t="shared" si="24"/>
        <v>2052.6999999999998</v>
      </c>
      <c r="AG244">
        <f t="shared" si="26"/>
        <v>438.40000000000003</v>
      </c>
      <c r="AH244">
        <f t="shared" si="27"/>
        <v>438.6</v>
      </c>
      <c r="AI244">
        <f t="shared" si="28"/>
        <v>289.39999999999998</v>
      </c>
      <c r="AJ244">
        <f t="shared" si="29"/>
        <v>126.3</v>
      </c>
      <c r="AK244">
        <f t="shared" si="30"/>
        <v>141.69999999999999</v>
      </c>
      <c r="AL244">
        <f t="shared" si="31"/>
        <v>155.4</v>
      </c>
    </row>
    <row r="245" spans="1:38" x14ac:dyDescent="0.3">
      <c r="A245" t="s">
        <v>33</v>
      </c>
      <c r="B245">
        <v>2019</v>
      </c>
      <c r="C245" t="s">
        <v>53</v>
      </c>
      <c r="D245" t="str">
        <f t="shared" si="25"/>
        <v>2019 - November</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t="s">
        <v>43</v>
      </c>
      <c r="W245">
        <v>148.4</v>
      </c>
      <c r="X245">
        <v>150.9</v>
      </c>
      <c r="Y245">
        <v>154.30000000000001</v>
      </c>
      <c r="Z245">
        <v>132.1</v>
      </c>
      <c r="AA245">
        <v>149.1</v>
      </c>
      <c r="AB245">
        <v>160.80000000000001</v>
      </c>
      <c r="AC245">
        <v>140.6</v>
      </c>
      <c r="AD245">
        <v>146.1</v>
      </c>
      <c r="AE245">
        <v>149.9</v>
      </c>
      <c r="AF245">
        <f t="shared" si="24"/>
        <v>2071.8000000000002</v>
      </c>
      <c r="AG245">
        <f t="shared" si="26"/>
        <v>450.8</v>
      </c>
      <c r="AH245">
        <f t="shared" si="27"/>
        <v>299.3</v>
      </c>
      <c r="AI245">
        <f t="shared" si="28"/>
        <v>294.89999999999998</v>
      </c>
      <c r="AJ245">
        <f t="shared" si="29"/>
        <v>132.1</v>
      </c>
      <c r="AK245">
        <f t="shared" si="30"/>
        <v>149.1</v>
      </c>
      <c r="AL245">
        <f t="shared" si="31"/>
        <v>160.80000000000001</v>
      </c>
    </row>
    <row r="246" spans="1:38" x14ac:dyDescent="0.3">
      <c r="A246" t="s">
        <v>36</v>
      </c>
      <c r="B246">
        <v>2019</v>
      </c>
      <c r="C246" t="s">
        <v>53</v>
      </c>
      <c r="D246" t="str">
        <f t="shared" si="25"/>
        <v>2019 - November</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c r="AF246">
        <f t="shared" si="24"/>
        <v>2093.8999999999996</v>
      </c>
      <c r="AG246">
        <f t="shared" si="26"/>
        <v>423.09999999999997</v>
      </c>
      <c r="AH246">
        <f t="shared" si="27"/>
        <v>424.79999999999995</v>
      </c>
      <c r="AI246">
        <f t="shared" si="28"/>
        <v>282.60000000000002</v>
      </c>
      <c r="AJ246">
        <f t="shared" si="29"/>
        <v>121.7</v>
      </c>
      <c r="AK246">
        <f t="shared" si="30"/>
        <v>136.69999999999999</v>
      </c>
      <c r="AL246">
        <f t="shared" si="31"/>
        <v>151.80000000000001</v>
      </c>
    </row>
    <row r="247" spans="1:38" x14ac:dyDescent="0.3">
      <c r="A247" t="s">
        <v>37</v>
      </c>
      <c r="B247">
        <v>2019</v>
      </c>
      <c r="C247" t="s">
        <v>53</v>
      </c>
      <c r="D247" t="str">
        <f t="shared" si="25"/>
        <v>2019 - November</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c r="AF247">
        <f t="shared" si="24"/>
        <v>2078.8000000000002</v>
      </c>
      <c r="AG247">
        <f t="shared" si="26"/>
        <v>439.5</v>
      </c>
      <c r="AH247">
        <f t="shared" si="27"/>
        <v>441.1</v>
      </c>
      <c r="AI247">
        <f t="shared" si="28"/>
        <v>290.20000000000005</v>
      </c>
      <c r="AJ247">
        <f t="shared" si="29"/>
        <v>126.6</v>
      </c>
      <c r="AK247">
        <f t="shared" si="30"/>
        <v>142.1</v>
      </c>
      <c r="AL247">
        <f t="shared" si="31"/>
        <v>155.5</v>
      </c>
    </row>
    <row r="248" spans="1:38" x14ac:dyDescent="0.3">
      <c r="A248" t="s">
        <v>33</v>
      </c>
      <c r="B248">
        <v>2019</v>
      </c>
      <c r="C248" t="s">
        <v>54</v>
      </c>
      <c r="D248" t="str">
        <f t="shared" si="25"/>
        <v>2019 - December</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t="s">
        <v>43</v>
      </c>
      <c r="W248">
        <v>149.9</v>
      </c>
      <c r="X248">
        <v>151.19999999999999</v>
      </c>
      <c r="Y248">
        <v>154.80000000000001</v>
      </c>
      <c r="Z248">
        <v>135</v>
      </c>
      <c r="AA248">
        <v>149.5</v>
      </c>
      <c r="AB248">
        <v>161.1</v>
      </c>
      <c r="AC248">
        <v>140.6</v>
      </c>
      <c r="AD248">
        <v>147.1</v>
      </c>
      <c r="AE248">
        <v>152.30000000000001</v>
      </c>
      <c r="AF248">
        <f t="shared" si="24"/>
        <v>2108.7999999999997</v>
      </c>
      <c r="AG248">
        <f t="shared" si="26"/>
        <v>451.79999999999995</v>
      </c>
      <c r="AH248">
        <f t="shared" si="27"/>
        <v>301.10000000000002</v>
      </c>
      <c r="AI248">
        <f t="shared" si="28"/>
        <v>295.39999999999998</v>
      </c>
      <c r="AJ248">
        <f t="shared" si="29"/>
        <v>135</v>
      </c>
      <c r="AK248">
        <f t="shared" si="30"/>
        <v>149.5</v>
      </c>
      <c r="AL248">
        <f t="shared" si="31"/>
        <v>161.1</v>
      </c>
    </row>
    <row r="249" spans="1:38" x14ac:dyDescent="0.3">
      <c r="A249" t="s">
        <v>36</v>
      </c>
      <c r="B249">
        <v>2019</v>
      </c>
      <c r="C249" t="s">
        <v>54</v>
      </c>
      <c r="D249" t="str">
        <f t="shared" si="25"/>
        <v>2019 - December</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c r="AF249">
        <f t="shared" si="24"/>
        <v>2127.1</v>
      </c>
      <c r="AG249">
        <f t="shared" si="26"/>
        <v>424.20000000000005</v>
      </c>
      <c r="AH249">
        <f t="shared" si="27"/>
        <v>426.2</v>
      </c>
      <c r="AI249">
        <f t="shared" si="28"/>
        <v>283.39999999999998</v>
      </c>
      <c r="AJ249">
        <f t="shared" si="29"/>
        <v>125.2</v>
      </c>
      <c r="AK249">
        <f t="shared" si="30"/>
        <v>136.80000000000001</v>
      </c>
      <c r="AL249">
        <f t="shared" si="31"/>
        <v>151.9</v>
      </c>
    </row>
    <row r="250" spans="1:38" x14ac:dyDescent="0.3">
      <c r="A250" t="s">
        <v>37</v>
      </c>
      <c r="B250">
        <v>2019</v>
      </c>
      <c r="C250" t="s">
        <v>54</v>
      </c>
      <c r="D250" t="str">
        <f t="shared" si="25"/>
        <v>2019 - December</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c r="AF250">
        <f t="shared" si="24"/>
        <v>2114.6000000000004</v>
      </c>
      <c r="AG250">
        <f t="shared" si="26"/>
        <v>440.6</v>
      </c>
      <c r="AH250">
        <f t="shared" si="27"/>
        <v>442.3</v>
      </c>
      <c r="AI250">
        <f t="shared" si="28"/>
        <v>290.8</v>
      </c>
      <c r="AJ250">
        <f t="shared" si="29"/>
        <v>129.80000000000001</v>
      </c>
      <c r="AK250">
        <f t="shared" si="30"/>
        <v>142.30000000000001</v>
      </c>
      <c r="AL250">
        <f t="shared" si="31"/>
        <v>155.69999999999999</v>
      </c>
    </row>
    <row r="251" spans="1:38" x14ac:dyDescent="0.3">
      <c r="A251" t="s">
        <v>33</v>
      </c>
      <c r="B251">
        <v>2020</v>
      </c>
      <c r="C251" t="s">
        <v>42</v>
      </c>
      <c r="D251" t="str">
        <f t="shared" si="25"/>
        <v>2020 - January</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t="s">
        <v>43</v>
      </c>
      <c r="W251">
        <v>150.4</v>
      </c>
      <c r="X251">
        <v>151.69999999999999</v>
      </c>
      <c r="Y251">
        <v>155.69999999999999</v>
      </c>
      <c r="Z251">
        <v>136.30000000000001</v>
      </c>
      <c r="AA251">
        <v>150.1</v>
      </c>
      <c r="AB251">
        <v>161.69999999999999</v>
      </c>
      <c r="AC251">
        <v>142.5</v>
      </c>
      <c r="AD251">
        <v>148.1</v>
      </c>
      <c r="AE251">
        <v>151.9</v>
      </c>
      <c r="AF251">
        <f t="shared" si="24"/>
        <v>2107.1999999999998</v>
      </c>
      <c r="AG251">
        <f t="shared" si="26"/>
        <v>452.30000000000007</v>
      </c>
      <c r="AH251">
        <f t="shared" si="27"/>
        <v>302.10000000000002</v>
      </c>
      <c r="AI251">
        <f t="shared" si="28"/>
        <v>298.2</v>
      </c>
      <c r="AJ251">
        <f t="shared" si="29"/>
        <v>136.30000000000001</v>
      </c>
      <c r="AK251">
        <f t="shared" si="30"/>
        <v>150.1</v>
      </c>
      <c r="AL251">
        <f t="shared" si="31"/>
        <v>161.69999999999999</v>
      </c>
    </row>
    <row r="252" spans="1:38" x14ac:dyDescent="0.3">
      <c r="A252" t="s">
        <v>36</v>
      </c>
      <c r="B252">
        <v>2020</v>
      </c>
      <c r="C252" t="s">
        <v>42</v>
      </c>
      <c r="D252" t="str">
        <f t="shared" si="25"/>
        <v>2020 - January</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c r="AF252" s="30">
        <f t="shared" si="24"/>
        <v>2116.1999999999998</v>
      </c>
      <c r="AG252" s="30">
        <f t="shared" si="26"/>
        <v>425.1</v>
      </c>
      <c r="AH252" s="30">
        <f t="shared" si="27"/>
        <v>429.1</v>
      </c>
      <c r="AI252" s="30">
        <f t="shared" si="28"/>
        <v>285.89999999999998</v>
      </c>
      <c r="AJ252" s="30">
        <f t="shared" si="29"/>
        <v>126.1</v>
      </c>
      <c r="AK252" s="30">
        <f t="shared" si="30"/>
        <v>137.19999999999999</v>
      </c>
      <c r="AL252" s="30">
        <f t="shared" si="31"/>
        <v>152.1</v>
      </c>
    </row>
    <row r="253" spans="1:38" x14ac:dyDescent="0.3">
      <c r="A253" t="s">
        <v>37</v>
      </c>
      <c r="B253">
        <v>2020</v>
      </c>
      <c r="C253" t="s">
        <v>42</v>
      </c>
      <c r="D253" t="str">
        <f t="shared" si="25"/>
        <v>2020 - January</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c r="AF253" s="30">
        <f t="shared" si="24"/>
        <v>2109.6</v>
      </c>
      <c r="AG253" s="30">
        <f t="shared" si="26"/>
        <v>441.2</v>
      </c>
      <c r="AH253" s="30">
        <f t="shared" si="27"/>
        <v>444.7</v>
      </c>
      <c r="AI253" s="30">
        <f t="shared" si="28"/>
        <v>293.5</v>
      </c>
      <c r="AJ253" s="30">
        <f t="shared" si="29"/>
        <v>130.9</v>
      </c>
      <c r="AK253" s="30">
        <f t="shared" si="30"/>
        <v>142.80000000000001</v>
      </c>
      <c r="AL253" s="30">
        <f t="shared" si="31"/>
        <v>156.1</v>
      </c>
    </row>
    <row r="254" spans="1:38" x14ac:dyDescent="0.3">
      <c r="A254" t="s">
        <v>33</v>
      </c>
      <c r="B254">
        <v>2020</v>
      </c>
      <c r="C254" t="s">
        <v>44</v>
      </c>
      <c r="D254" t="str">
        <f t="shared" si="25"/>
        <v>2020 - February</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t="s">
        <v>43</v>
      </c>
      <c r="W254">
        <v>152.30000000000001</v>
      </c>
      <c r="X254">
        <v>151.80000000000001</v>
      </c>
      <c r="Y254">
        <v>156.19999999999999</v>
      </c>
      <c r="Z254">
        <v>136</v>
      </c>
      <c r="AA254">
        <v>150.4</v>
      </c>
      <c r="AB254">
        <v>161.9</v>
      </c>
      <c r="AC254">
        <v>143.4</v>
      </c>
      <c r="AD254">
        <v>148.4</v>
      </c>
      <c r="AE254">
        <v>150.4</v>
      </c>
      <c r="AF254" s="30">
        <f t="shared" si="24"/>
        <v>2079.1999999999998</v>
      </c>
      <c r="AG254" s="30">
        <f t="shared" si="26"/>
        <v>452.8</v>
      </c>
      <c r="AH254" s="30">
        <f t="shared" si="27"/>
        <v>304.10000000000002</v>
      </c>
      <c r="AI254" s="30">
        <f t="shared" si="28"/>
        <v>299.60000000000002</v>
      </c>
      <c r="AJ254" s="30">
        <f t="shared" si="29"/>
        <v>136</v>
      </c>
      <c r="AK254" s="30">
        <f t="shared" si="30"/>
        <v>150.4</v>
      </c>
      <c r="AL254" s="30">
        <f t="shared" si="31"/>
        <v>161.9</v>
      </c>
    </row>
    <row r="255" spans="1:38" x14ac:dyDescent="0.3">
      <c r="A255" t="s">
        <v>36</v>
      </c>
      <c r="B255">
        <v>2020</v>
      </c>
      <c r="C255" t="s">
        <v>44</v>
      </c>
      <c r="D255" t="str">
        <f t="shared" si="25"/>
        <v>2020 - February</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c r="AF255" s="30">
        <f t="shared" si="24"/>
        <v>2088.6</v>
      </c>
      <c r="AG255" s="30">
        <f t="shared" si="26"/>
        <v>426</v>
      </c>
      <c r="AH255" s="30">
        <f t="shared" si="27"/>
        <v>434.1</v>
      </c>
      <c r="AI255" s="30">
        <f t="shared" si="28"/>
        <v>287.89999999999998</v>
      </c>
      <c r="AJ255" s="30">
        <f t="shared" si="29"/>
        <v>125.2</v>
      </c>
      <c r="AK255" s="30">
        <f t="shared" si="30"/>
        <v>137.69999999999999</v>
      </c>
      <c r="AL255" s="30">
        <f t="shared" si="31"/>
        <v>152.19999999999999</v>
      </c>
    </row>
    <row r="256" spans="1:38" x14ac:dyDescent="0.3">
      <c r="A256" t="s">
        <v>37</v>
      </c>
      <c r="B256">
        <v>2020</v>
      </c>
      <c r="C256" t="s">
        <v>44</v>
      </c>
      <c r="D256" t="str">
        <f t="shared" si="25"/>
        <v>2020 - February</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c r="AF256" s="30">
        <f t="shared" si="24"/>
        <v>2081.6999999999998</v>
      </c>
      <c r="AG256" s="30">
        <f t="shared" si="26"/>
        <v>442</v>
      </c>
      <c r="AH256" s="30">
        <f t="shared" si="27"/>
        <v>448.4</v>
      </c>
      <c r="AI256" s="30">
        <f t="shared" si="28"/>
        <v>295.10000000000002</v>
      </c>
      <c r="AJ256" s="30">
        <f t="shared" si="29"/>
        <v>130.30000000000001</v>
      </c>
      <c r="AK256" s="30">
        <f t="shared" si="30"/>
        <v>143.19999999999999</v>
      </c>
      <c r="AL256" s="30">
        <f t="shared" si="31"/>
        <v>156.19999999999999</v>
      </c>
    </row>
    <row r="257" spans="1:39" x14ac:dyDescent="0.3">
      <c r="A257" t="s">
        <v>33</v>
      </c>
      <c r="B257">
        <v>2020</v>
      </c>
      <c r="C257" t="s">
        <v>45</v>
      </c>
      <c r="D257" t="str">
        <f t="shared" si="25"/>
        <v>2020 - March</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t="s">
        <v>43</v>
      </c>
      <c r="W257">
        <v>153.4</v>
      </c>
      <c r="X257">
        <v>151.5</v>
      </c>
      <c r="Y257">
        <v>156.69999999999999</v>
      </c>
      <c r="Z257">
        <v>135.80000000000001</v>
      </c>
      <c r="AA257">
        <v>151.19999999999999</v>
      </c>
      <c r="AB257">
        <v>161.19999999999999</v>
      </c>
      <c r="AC257">
        <v>145.1</v>
      </c>
      <c r="AD257">
        <v>148.6</v>
      </c>
      <c r="AE257">
        <v>149.80000000000001</v>
      </c>
      <c r="AF257" s="30">
        <f t="shared" si="24"/>
        <v>2065.0999999999995</v>
      </c>
      <c r="AG257" s="30">
        <f t="shared" si="26"/>
        <v>453.5</v>
      </c>
      <c r="AH257" s="30">
        <f t="shared" si="27"/>
        <v>304.89999999999998</v>
      </c>
      <c r="AI257" s="30">
        <f t="shared" si="28"/>
        <v>301.79999999999995</v>
      </c>
      <c r="AJ257" s="30">
        <f t="shared" si="29"/>
        <v>135.80000000000001</v>
      </c>
      <c r="AK257" s="30">
        <f t="shared" si="30"/>
        <v>151.19999999999999</v>
      </c>
      <c r="AL257" s="30">
        <f t="shared" si="31"/>
        <v>161.19999999999999</v>
      </c>
    </row>
    <row r="258" spans="1:39" x14ac:dyDescent="0.3">
      <c r="A258" t="s">
        <v>36</v>
      </c>
      <c r="B258">
        <v>2020</v>
      </c>
      <c r="C258" t="s">
        <v>45</v>
      </c>
      <c r="D258" t="str">
        <f t="shared" si="25"/>
        <v>2020 - March</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c r="AF258" s="30">
        <f t="shared" ref="AF258:AF321" si="32">SUM(E258:R258)</f>
        <v>2071.8000000000002</v>
      </c>
      <c r="AG258" s="30">
        <f t="shared" si="26"/>
        <v>427.1</v>
      </c>
      <c r="AH258" s="30">
        <f t="shared" si="27"/>
        <v>436.7</v>
      </c>
      <c r="AI258" s="30">
        <f t="shared" si="28"/>
        <v>290.3</v>
      </c>
      <c r="AJ258" s="30">
        <f t="shared" si="29"/>
        <v>124.6</v>
      </c>
      <c r="AK258" s="30">
        <f t="shared" si="30"/>
        <v>137.9</v>
      </c>
      <c r="AL258" s="30">
        <f t="shared" si="31"/>
        <v>152.5</v>
      </c>
    </row>
    <row r="259" spans="1:39" x14ac:dyDescent="0.3">
      <c r="A259" t="s">
        <v>37</v>
      </c>
      <c r="B259">
        <v>2020</v>
      </c>
      <c r="C259" t="s">
        <v>45</v>
      </c>
      <c r="D259" t="str">
        <f t="shared" ref="D259:D286" si="33">B259 &amp; " - " &amp; C259</f>
        <v>2020 - March</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c r="AF259" s="30">
        <f t="shared" si="32"/>
        <v>2066.6</v>
      </c>
      <c r="AG259" s="30">
        <f t="shared" ref="AG259:AG322" si="34">SUM(S259:U259)</f>
        <v>442.90000000000003</v>
      </c>
      <c r="AH259" s="30">
        <f t="shared" ref="AH259:AH322" si="35">SUM(V259:X259)</f>
        <v>449.79999999999995</v>
      </c>
      <c r="AI259" s="30">
        <f t="shared" ref="AI259:AI322" si="36">SUM(Y259,AC259)</f>
        <v>297.5</v>
      </c>
      <c r="AJ259" s="30">
        <f t="shared" ref="AJ259:AJ322" si="37">SUM(Z259)</f>
        <v>129.9</v>
      </c>
      <c r="AK259" s="30">
        <f t="shared" ref="AK259:AK322" si="38">SUM(AA259)</f>
        <v>143.69999999999999</v>
      </c>
      <c r="AL259" s="30">
        <f t="shared" ref="AL259:AL322" si="39">SUM(AB259)</f>
        <v>156.1</v>
      </c>
    </row>
    <row r="260" spans="1:39" x14ac:dyDescent="0.3">
      <c r="A260" t="s">
        <v>33</v>
      </c>
      <c r="B260">
        <v>2020</v>
      </c>
      <c r="C260" t="s">
        <v>46</v>
      </c>
      <c r="D260" t="str">
        <f t="shared" si="33"/>
        <v>2020 - April</v>
      </c>
      <c r="E260">
        <v>147.19999999999999</v>
      </c>
      <c r="F260" s="30">
        <v>177.10333333333332</v>
      </c>
      <c r="G260">
        <v>146.9</v>
      </c>
      <c r="H260">
        <v>155.6</v>
      </c>
      <c r="I260">
        <v>137.1</v>
      </c>
      <c r="J260">
        <v>147.30000000000001</v>
      </c>
      <c r="K260">
        <v>162.69999999999999</v>
      </c>
      <c r="L260">
        <v>150.19999999999999</v>
      </c>
      <c r="M260">
        <v>119.8</v>
      </c>
      <c r="N260">
        <v>158.69999999999999</v>
      </c>
      <c r="O260">
        <v>139.19999999999999</v>
      </c>
      <c r="P260" s="30">
        <v>160.39333333333332</v>
      </c>
      <c r="Q260">
        <v>150.1</v>
      </c>
      <c r="R260" s="30">
        <v>175.07000000000002</v>
      </c>
      <c r="S260" s="30">
        <v>153.79666666666671</v>
      </c>
      <c r="T260" s="30">
        <v>148.56333333333333</v>
      </c>
      <c r="U260" s="30">
        <v>153.09333333333333</v>
      </c>
      <c r="V260" t="s">
        <v>43</v>
      </c>
      <c r="W260">
        <v>148.4</v>
      </c>
      <c r="X260" s="30">
        <v>151.6866666666667</v>
      </c>
      <c r="Y260">
        <v>154.30000000000001</v>
      </c>
      <c r="Z260" s="30">
        <v>138.42333333333332</v>
      </c>
      <c r="AA260" s="30">
        <v>151.69000000000003</v>
      </c>
      <c r="AB260" s="30">
        <v>161.71333333333334</v>
      </c>
      <c r="AC260" s="30">
        <v>147.04999999999998</v>
      </c>
      <c r="AD260" s="30">
        <v>149.86333333333334</v>
      </c>
      <c r="AE260" s="30">
        <v>151.59333333333336</v>
      </c>
      <c r="AF260" s="30">
        <f t="shared" si="32"/>
        <v>2127.3666666666668</v>
      </c>
      <c r="AG260" s="30">
        <f t="shared" si="34"/>
        <v>455.45333333333338</v>
      </c>
      <c r="AH260" s="30">
        <f t="shared" si="35"/>
        <v>300.0866666666667</v>
      </c>
      <c r="AI260" s="30">
        <f t="shared" si="36"/>
        <v>301.35000000000002</v>
      </c>
      <c r="AJ260" s="30">
        <f t="shared" si="37"/>
        <v>138.42333333333332</v>
      </c>
      <c r="AK260" s="30">
        <f t="shared" si="38"/>
        <v>151.69000000000003</v>
      </c>
      <c r="AL260" s="30">
        <f t="shared" si="39"/>
        <v>161.71333333333334</v>
      </c>
      <c r="AM260" s="30"/>
    </row>
    <row r="261" spans="1:39" x14ac:dyDescent="0.3">
      <c r="A261" t="s">
        <v>36</v>
      </c>
      <c r="B261">
        <v>2020</v>
      </c>
      <c r="C261" t="s">
        <v>46</v>
      </c>
      <c r="D261" t="str">
        <f t="shared" si="33"/>
        <v>2020 - April</v>
      </c>
      <c r="E261">
        <v>151.80000000000001</v>
      </c>
      <c r="F261">
        <v>180.3</v>
      </c>
      <c r="G261">
        <v>151.9</v>
      </c>
      <c r="H261">
        <v>155.5</v>
      </c>
      <c r="I261">
        <v>131.6</v>
      </c>
      <c r="J261">
        <v>152.9</v>
      </c>
      <c r="K261">
        <v>180</v>
      </c>
      <c r="L261">
        <v>150.80000000000001</v>
      </c>
      <c r="M261">
        <v>121.2</v>
      </c>
      <c r="N261">
        <v>154</v>
      </c>
      <c r="O261">
        <v>133.5</v>
      </c>
      <c r="P261">
        <v>160.19999999999999</v>
      </c>
      <c r="Q261">
        <v>153.5</v>
      </c>
      <c r="R261" s="30">
        <v>178.44666666666669</v>
      </c>
      <c r="S261" s="30">
        <v>148.14000000000001</v>
      </c>
      <c r="T261" s="30">
        <v>134.80666666666667</v>
      </c>
      <c r="U261" s="30">
        <v>146.11666666666667</v>
      </c>
      <c r="V261">
        <v>155.6</v>
      </c>
      <c r="W261">
        <v>137.1</v>
      </c>
      <c r="X261">
        <v>140.6</v>
      </c>
      <c r="Y261">
        <v>144.80000000000001</v>
      </c>
      <c r="Z261" s="30">
        <v>127.16000000000001</v>
      </c>
      <c r="AA261" s="30">
        <v>140.49333333333331</v>
      </c>
      <c r="AB261" s="30">
        <v>152.47333333333333</v>
      </c>
      <c r="AC261" s="30">
        <v>147.49666666666667</v>
      </c>
      <c r="AD261" s="30">
        <v>140.11333333333334</v>
      </c>
      <c r="AE261" s="30">
        <v>149.11666666666667</v>
      </c>
      <c r="AF261" s="30">
        <f t="shared" si="32"/>
        <v>2155.6466666666665</v>
      </c>
      <c r="AG261" s="30">
        <f t="shared" si="34"/>
        <v>429.06333333333339</v>
      </c>
      <c r="AH261" s="30">
        <f t="shared" si="35"/>
        <v>433.29999999999995</v>
      </c>
      <c r="AI261" s="30">
        <f t="shared" si="36"/>
        <v>292.29666666666668</v>
      </c>
      <c r="AJ261" s="30">
        <f t="shared" si="37"/>
        <v>127.16000000000001</v>
      </c>
      <c r="AK261" s="30">
        <f t="shared" si="38"/>
        <v>140.49333333333331</v>
      </c>
      <c r="AL261" s="30">
        <f t="shared" si="39"/>
        <v>152.47333333333333</v>
      </c>
      <c r="AM261" s="30"/>
    </row>
    <row r="262" spans="1:39" x14ac:dyDescent="0.3">
      <c r="A262" t="s">
        <v>37</v>
      </c>
      <c r="B262">
        <v>2020</v>
      </c>
      <c r="C262" t="s">
        <v>46</v>
      </c>
      <c r="D262" t="str">
        <f t="shared" si="33"/>
        <v>2020 - April</v>
      </c>
      <c r="E262">
        <v>148.69999999999999</v>
      </c>
      <c r="F262" s="30">
        <v>178.24333333333334</v>
      </c>
      <c r="G262">
        <v>148.80000000000001</v>
      </c>
      <c r="H262">
        <v>155.6</v>
      </c>
      <c r="I262">
        <v>135.1</v>
      </c>
      <c r="J262">
        <v>149.9</v>
      </c>
      <c r="K262">
        <v>168.6</v>
      </c>
      <c r="L262">
        <v>150.4</v>
      </c>
      <c r="M262">
        <v>120.3</v>
      </c>
      <c r="N262">
        <v>157.1</v>
      </c>
      <c r="O262">
        <v>136.80000000000001</v>
      </c>
      <c r="P262" s="30">
        <v>160.30333333333331</v>
      </c>
      <c r="Q262">
        <v>151.4</v>
      </c>
      <c r="R262" s="30">
        <v>175.94666666666663</v>
      </c>
      <c r="S262" s="30">
        <v>151.58666666666667</v>
      </c>
      <c r="T262" s="30">
        <v>142.84333333333333</v>
      </c>
      <c r="U262" s="30">
        <v>150.34333333333333</v>
      </c>
      <c r="V262">
        <v>155.6</v>
      </c>
      <c r="W262">
        <v>144.1</v>
      </c>
      <c r="X262" s="30">
        <v>146.43333333333331</v>
      </c>
      <c r="Y262">
        <v>150.69999999999999</v>
      </c>
      <c r="Z262" s="30">
        <v>132.47333333333333</v>
      </c>
      <c r="AA262" s="30">
        <v>145.36666666666667</v>
      </c>
      <c r="AB262" s="30">
        <v>156.31999999999996</v>
      </c>
      <c r="AC262" s="30">
        <v>147.22000000000003</v>
      </c>
      <c r="AD262" s="30">
        <v>145.14666666666668</v>
      </c>
      <c r="AE262" s="30">
        <v>150.42333333333332</v>
      </c>
      <c r="AF262" s="30">
        <f t="shared" si="32"/>
        <v>2137.1933333333332</v>
      </c>
      <c r="AG262" s="30">
        <f t="shared" si="34"/>
        <v>444.77333333333331</v>
      </c>
      <c r="AH262" s="30">
        <f t="shared" si="35"/>
        <v>446.13333333333333</v>
      </c>
      <c r="AI262" s="30">
        <f t="shared" si="36"/>
        <v>297.92</v>
      </c>
      <c r="AJ262" s="30">
        <f t="shared" si="37"/>
        <v>132.47333333333333</v>
      </c>
      <c r="AK262" s="30">
        <f t="shared" si="38"/>
        <v>145.36666666666667</v>
      </c>
      <c r="AL262" s="30">
        <f t="shared" si="39"/>
        <v>156.31999999999996</v>
      </c>
      <c r="AM262" s="30"/>
    </row>
    <row r="263" spans="1:39" x14ac:dyDescent="0.3">
      <c r="A263" t="s">
        <v>33</v>
      </c>
      <c r="B263">
        <v>2020</v>
      </c>
      <c r="C263" t="s">
        <v>34</v>
      </c>
      <c r="D263" t="str">
        <f t="shared" si="33"/>
        <v>2020 - May</v>
      </c>
      <c r="E263" s="30">
        <v>146.63333333333335</v>
      </c>
      <c r="F263" s="30">
        <v>180.42000000000002</v>
      </c>
      <c r="G263" s="30">
        <v>148.76666666666665</v>
      </c>
      <c r="H263" s="30">
        <v>153.01666666666665</v>
      </c>
      <c r="I263" s="30">
        <v>136.71666666666667</v>
      </c>
      <c r="J263" s="30">
        <v>143.85</v>
      </c>
      <c r="K263" s="30">
        <v>158.15</v>
      </c>
      <c r="L263" s="30">
        <v>147.38333333333335</v>
      </c>
      <c r="M263" s="30">
        <v>114.35000000000001</v>
      </c>
      <c r="N263" s="30">
        <v>157.51666666666665</v>
      </c>
      <c r="O263" s="30">
        <v>141.18333333333334</v>
      </c>
      <c r="P263" s="30">
        <v>160.85999999999999</v>
      </c>
      <c r="Q263" s="30">
        <v>151.33333333333334</v>
      </c>
      <c r="R263" s="30">
        <v>177.11999999999998</v>
      </c>
      <c r="S263" s="30">
        <v>154.18</v>
      </c>
      <c r="T263" s="30">
        <v>148.88000000000002</v>
      </c>
      <c r="U263" s="30">
        <v>153.45999999999998</v>
      </c>
      <c r="V263" t="s">
        <v>43</v>
      </c>
      <c r="W263" s="30">
        <v>148.28333333333333</v>
      </c>
      <c r="X263" s="30">
        <v>151.72</v>
      </c>
      <c r="Y263" s="30">
        <v>157.06666666666663</v>
      </c>
      <c r="Z263" s="30">
        <v>139.64000000000001</v>
      </c>
      <c r="AA263" s="30">
        <v>152.04000000000002</v>
      </c>
      <c r="AB263" s="30">
        <v>161.88000000000002</v>
      </c>
      <c r="AC263" s="30">
        <v>148.9</v>
      </c>
      <c r="AD263" s="30">
        <v>150.68</v>
      </c>
      <c r="AE263">
        <v>152.06</v>
      </c>
      <c r="AF263" s="30">
        <f t="shared" si="32"/>
        <v>2117.3000000000002</v>
      </c>
      <c r="AG263" s="30">
        <f t="shared" si="34"/>
        <v>456.52000000000004</v>
      </c>
      <c r="AH263" s="30">
        <f t="shared" si="35"/>
        <v>300.00333333333333</v>
      </c>
      <c r="AI263" s="30">
        <f t="shared" si="36"/>
        <v>305.96666666666664</v>
      </c>
      <c r="AJ263" s="30">
        <f t="shared" si="37"/>
        <v>139.64000000000001</v>
      </c>
      <c r="AK263" s="30">
        <f t="shared" si="38"/>
        <v>152.04000000000002</v>
      </c>
      <c r="AL263" s="30">
        <f t="shared" si="39"/>
        <v>161.88000000000002</v>
      </c>
    </row>
    <row r="264" spans="1:39" x14ac:dyDescent="0.3">
      <c r="A264" t="s">
        <v>36</v>
      </c>
      <c r="B264">
        <v>2020</v>
      </c>
      <c r="C264" t="s">
        <v>34</v>
      </c>
      <c r="D264" t="str">
        <f t="shared" si="33"/>
        <v>2020 - May</v>
      </c>
      <c r="E264" s="30">
        <v>150.25000000000003</v>
      </c>
      <c r="F264" s="30">
        <v>185.38000000000002</v>
      </c>
      <c r="G264" s="30">
        <v>152.93333333333334</v>
      </c>
      <c r="H264" s="30">
        <v>152.91666666666666</v>
      </c>
      <c r="I264" s="30">
        <v>130.94999999999999</v>
      </c>
      <c r="J264" s="30">
        <v>149.56666666666663</v>
      </c>
      <c r="K264" s="30">
        <v>177.16666666666671</v>
      </c>
      <c r="L264" s="30">
        <v>147.56666666666663</v>
      </c>
      <c r="M264" s="30">
        <v>116.59999999999998</v>
      </c>
      <c r="N264" s="30">
        <v>155.58333333333334</v>
      </c>
      <c r="O264" s="30">
        <v>134.1</v>
      </c>
      <c r="P264" s="30">
        <v>160.95999999999998</v>
      </c>
      <c r="Q264" s="30">
        <v>154.86666666666665</v>
      </c>
      <c r="R264" s="30">
        <v>181.18</v>
      </c>
      <c r="S264" s="30">
        <v>148.64000000000001</v>
      </c>
      <c r="T264" s="30">
        <v>135.14000000000001</v>
      </c>
      <c r="U264" s="30">
        <v>146.6</v>
      </c>
      <c r="V264" s="30">
        <v>154.96666666666667</v>
      </c>
      <c r="W264" s="30">
        <v>138.31666666666669</v>
      </c>
      <c r="X264" s="30">
        <v>141.30000000000001</v>
      </c>
      <c r="Y264" s="30">
        <v>146.51666666666665</v>
      </c>
      <c r="Z264" s="30">
        <v>128.46</v>
      </c>
      <c r="AA264" s="30">
        <v>141.16</v>
      </c>
      <c r="AB264" s="30">
        <v>153.04000000000002</v>
      </c>
      <c r="AC264" s="30">
        <v>149.68</v>
      </c>
      <c r="AD264" s="30">
        <v>141.18</v>
      </c>
      <c r="AE264" s="30">
        <v>149.9</v>
      </c>
      <c r="AF264" s="30">
        <f t="shared" si="32"/>
        <v>2150.0199999999995</v>
      </c>
      <c r="AG264" s="30">
        <f t="shared" si="34"/>
        <v>430.38</v>
      </c>
      <c r="AH264" s="30">
        <f t="shared" si="35"/>
        <v>434.58333333333337</v>
      </c>
      <c r="AI264" s="30">
        <f t="shared" si="36"/>
        <v>296.19666666666666</v>
      </c>
      <c r="AJ264" s="30">
        <f t="shared" si="37"/>
        <v>128.46</v>
      </c>
      <c r="AK264" s="30">
        <f t="shared" si="38"/>
        <v>141.16</v>
      </c>
      <c r="AL264" s="30">
        <f t="shared" si="39"/>
        <v>153.04000000000002</v>
      </c>
      <c r="AM264" s="30"/>
    </row>
    <row r="265" spans="1:39" x14ac:dyDescent="0.3">
      <c r="A265" t="s">
        <v>37</v>
      </c>
      <c r="B265">
        <v>2020</v>
      </c>
      <c r="C265" t="s">
        <v>34</v>
      </c>
      <c r="D265" t="str">
        <f t="shared" si="33"/>
        <v>2020 - May</v>
      </c>
      <c r="E265" s="30">
        <v>147.78333333333333</v>
      </c>
      <c r="F265" s="30">
        <v>182.16000000000003</v>
      </c>
      <c r="G265" s="30">
        <v>150.38333333333333</v>
      </c>
      <c r="H265" s="30">
        <v>152.96666666666667</v>
      </c>
      <c r="I265" s="30">
        <v>134.61666666666665</v>
      </c>
      <c r="J265" s="30">
        <v>146.50000000000003</v>
      </c>
      <c r="K265" s="30">
        <v>164.61666666666667</v>
      </c>
      <c r="L265" s="30">
        <v>147.46666666666667</v>
      </c>
      <c r="M265" s="30">
        <v>115.10000000000001</v>
      </c>
      <c r="N265" s="30">
        <v>156.88333333333333</v>
      </c>
      <c r="O265" s="30">
        <v>138.23333333333332</v>
      </c>
      <c r="P265" s="30">
        <v>160.91999999999999</v>
      </c>
      <c r="Q265" s="30">
        <v>152.63333333333333</v>
      </c>
      <c r="R265" s="30">
        <v>178.18</v>
      </c>
      <c r="S265" s="30">
        <v>152.02000000000001</v>
      </c>
      <c r="T265" s="30">
        <v>143.16</v>
      </c>
      <c r="U265" s="30">
        <v>150.76</v>
      </c>
      <c r="V265" s="30">
        <v>154.96666666666667</v>
      </c>
      <c r="W265" s="30">
        <v>144.5</v>
      </c>
      <c r="X265" s="30">
        <v>146.80000000000001</v>
      </c>
      <c r="Y265" s="30">
        <v>153.08333333333334</v>
      </c>
      <c r="Z265" s="30">
        <v>133.74</v>
      </c>
      <c r="AA265" s="30">
        <v>145.9</v>
      </c>
      <c r="AB265" s="30">
        <v>156.71999999999997</v>
      </c>
      <c r="AC265" s="30">
        <v>149.22000000000003</v>
      </c>
      <c r="AD265" s="30">
        <v>146.07999999999998</v>
      </c>
      <c r="AE265" s="30">
        <v>151.04</v>
      </c>
      <c r="AF265" s="30">
        <f t="shared" si="32"/>
        <v>2128.4433333333332</v>
      </c>
      <c r="AG265" s="30">
        <f t="shared" si="34"/>
        <v>445.94</v>
      </c>
      <c r="AH265" s="30">
        <f t="shared" si="35"/>
        <v>446.26666666666671</v>
      </c>
      <c r="AI265" s="30">
        <f t="shared" si="36"/>
        <v>302.3033333333334</v>
      </c>
      <c r="AJ265" s="30">
        <f t="shared" si="37"/>
        <v>133.74</v>
      </c>
      <c r="AK265" s="30">
        <f t="shared" si="38"/>
        <v>145.9</v>
      </c>
      <c r="AL265" s="30">
        <f t="shared" si="39"/>
        <v>156.71999999999997</v>
      </c>
      <c r="AM265" s="30"/>
    </row>
    <row r="266" spans="1:39" x14ac:dyDescent="0.3">
      <c r="A266" t="s">
        <v>33</v>
      </c>
      <c r="B266">
        <v>2020</v>
      </c>
      <c r="C266" t="s">
        <v>47</v>
      </c>
      <c r="D266" t="str">
        <f t="shared" si="33"/>
        <v>2020 - June</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t="s">
        <v>43</v>
      </c>
      <c r="W266">
        <v>144.9</v>
      </c>
      <c r="X266">
        <v>151.69999999999999</v>
      </c>
      <c r="Y266">
        <v>158.19999999999999</v>
      </c>
      <c r="Z266">
        <v>141.4</v>
      </c>
      <c r="AA266">
        <v>153.19999999999999</v>
      </c>
      <c r="AB266">
        <v>161.80000000000001</v>
      </c>
      <c r="AC266">
        <v>151.19999999999999</v>
      </c>
      <c r="AD266">
        <v>151.69999999999999</v>
      </c>
      <c r="AE266">
        <v>152.69999999999999</v>
      </c>
      <c r="AF266" s="30">
        <f t="shared" si="32"/>
        <v>2133.4</v>
      </c>
      <c r="AG266" s="30">
        <f t="shared" si="34"/>
        <v>458.79999999999995</v>
      </c>
      <c r="AH266" s="30">
        <f t="shared" si="35"/>
        <v>296.60000000000002</v>
      </c>
      <c r="AI266" s="30">
        <f t="shared" si="36"/>
        <v>309.39999999999998</v>
      </c>
      <c r="AJ266" s="30">
        <f t="shared" si="37"/>
        <v>141.4</v>
      </c>
      <c r="AK266" s="30">
        <f t="shared" si="38"/>
        <v>153.19999999999999</v>
      </c>
      <c r="AL266" s="30">
        <f t="shared" si="39"/>
        <v>161.80000000000001</v>
      </c>
    </row>
    <row r="267" spans="1:39" x14ac:dyDescent="0.3">
      <c r="A267" t="s">
        <v>36</v>
      </c>
      <c r="B267">
        <v>2020</v>
      </c>
      <c r="C267" t="s">
        <v>47</v>
      </c>
      <c r="D267" t="str">
        <f t="shared" si="33"/>
        <v>2020 - June</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c r="AF267" s="30">
        <f t="shared" si="32"/>
        <v>2181.6999999999998</v>
      </c>
      <c r="AG267" s="30">
        <f t="shared" si="34"/>
        <v>432.9</v>
      </c>
      <c r="AH267" s="30">
        <f t="shared" si="35"/>
        <v>432.19999999999993</v>
      </c>
      <c r="AI267" s="30">
        <f t="shared" si="36"/>
        <v>300.29999999999995</v>
      </c>
      <c r="AJ267" s="30">
        <f t="shared" si="37"/>
        <v>129.30000000000001</v>
      </c>
      <c r="AK267" s="30">
        <f t="shared" si="38"/>
        <v>144.5</v>
      </c>
      <c r="AL267" s="30">
        <f t="shared" si="39"/>
        <v>152.5</v>
      </c>
      <c r="AM267" s="30"/>
    </row>
    <row r="268" spans="1:39" x14ac:dyDescent="0.3">
      <c r="A268" t="s">
        <v>37</v>
      </c>
      <c r="B268">
        <v>2020</v>
      </c>
      <c r="C268" t="s">
        <v>47</v>
      </c>
      <c r="D268" t="str">
        <f t="shared" si="33"/>
        <v>2020 - June</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c r="AF268" s="30">
        <f t="shared" si="32"/>
        <v>2150.3000000000002</v>
      </c>
      <c r="AG268" s="30">
        <f t="shared" si="34"/>
        <v>448.29999999999995</v>
      </c>
      <c r="AH268" s="30">
        <f t="shared" si="35"/>
        <v>443</v>
      </c>
      <c r="AI268" s="30">
        <f t="shared" si="36"/>
        <v>306</v>
      </c>
      <c r="AJ268" s="30">
        <f t="shared" si="37"/>
        <v>135</v>
      </c>
      <c r="AK268" s="30">
        <f t="shared" si="38"/>
        <v>148.30000000000001</v>
      </c>
      <c r="AL268" s="30">
        <f t="shared" si="39"/>
        <v>156.4</v>
      </c>
    </row>
    <row r="269" spans="1:39" x14ac:dyDescent="0.3">
      <c r="A269" t="s">
        <v>33</v>
      </c>
      <c r="B269">
        <v>2020</v>
      </c>
      <c r="C269" t="s">
        <v>48</v>
      </c>
      <c r="D269" t="str">
        <f t="shared" si="33"/>
        <v>2020 - July</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t="s">
        <v>43</v>
      </c>
      <c r="W269">
        <v>144.9</v>
      </c>
      <c r="X269">
        <v>151.69999999999999</v>
      </c>
      <c r="Y269">
        <v>158.19999999999999</v>
      </c>
      <c r="Z269">
        <v>141.4</v>
      </c>
      <c r="AA269">
        <v>153.19999999999999</v>
      </c>
      <c r="AB269">
        <v>161.80000000000001</v>
      </c>
      <c r="AC269">
        <v>151.19999999999999</v>
      </c>
      <c r="AD269">
        <v>151.69999999999999</v>
      </c>
      <c r="AE269">
        <v>152.69999999999999</v>
      </c>
      <c r="AF269" s="30">
        <f t="shared" si="32"/>
        <v>2133.4</v>
      </c>
      <c r="AG269" s="30">
        <f t="shared" si="34"/>
        <v>458.79999999999995</v>
      </c>
      <c r="AH269" s="30">
        <f t="shared" si="35"/>
        <v>296.60000000000002</v>
      </c>
      <c r="AI269" s="30">
        <f t="shared" si="36"/>
        <v>309.39999999999998</v>
      </c>
      <c r="AJ269" s="30">
        <f t="shared" si="37"/>
        <v>141.4</v>
      </c>
      <c r="AK269" s="30">
        <f t="shared" si="38"/>
        <v>153.19999999999999</v>
      </c>
      <c r="AL269" s="30">
        <f t="shared" si="39"/>
        <v>161.80000000000001</v>
      </c>
    </row>
    <row r="270" spans="1:39" x14ac:dyDescent="0.3">
      <c r="A270" t="s">
        <v>36</v>
      </c>
      <c r="B270">
        <v>2020</v>
      </c>
      <c r="C270" t="s">
        <v>48</v>
      </c>
      <c r="D270" t="str">
        <f t="shared" si="33"/>
        <v>2020 - July</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c r="AF270" s="30">
        <f t="shared" si="32"/>
        <v>2181.6999999999998</v>
      </c>
      <c r="AG270" s="30">
        <f t="shared" si="34"/>
        <v>432.9</v>
      </c>
      <c r="AH270" s="30">
        <f t="shared" si="35"/>
        <v>432.19999999999993</v>
      </c>
      <c r="AI270" s="30">
        <f t="shared" si="36"/>
        <v>300.29999999999995</v>
      </c>
      <c r="AJ270" s="30">
        <f t="shared" si="37"/>
        <v>129.30000000000001</v>
      </c>
      <c r="AK270" s="30">
        <f t="shared" si="38"/>
        <v>144.5</v>
      </c>
      <c r="AL270" s="30">
        <f t="shared" si="39"/>
        <v>152.5</v>
      </c>
    </row>
    <row r="271" spans="1:39" x14ac:dyDescent="0.3">
      <c r="A271" t="s">
        <v>37</v>
      </c>
      <c r="B271">
        <v>2020</v>
      </c>
      <c r="C271" t="s">
        <v>48</v>
      </c>
      <c r="D271" t="str">
        <f t="shared" si="33"/>
        <v>2020 - July</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c r="AF271" s="30">
        <f t="shared" si="32"/>
        <v>2150.3000000000002</v>
      </c>
      <c r="AG271" s="30">
        <f t="shared" si="34"/>
        <v>448.29999999999995</v>
      </c>
      <c r="AH271" s="30">
        <f t="shared" si="35"/>
        <v>443</v>
      </c>
      <c r="AI271" s="30">
        <f t="shared" si="36"/>
        <v>306</v>
      </c>
      <c r="AJ271" s="30">
        <f t="shared" si="37"/>
        <v>135</v>
      </c>
      <c r="AK271" s="30">
        <f t="shared" si="38"/>
        <v>148.30000000000001</v>
      </c>
      <c r="AL271" s="30">
        <f t="shared" si="39"/>
        <v>156.4</v>
      </c>
    </row>
    <row r="272" spans="1:39" x14ac:dyDescent="0.3">
      <c r="A272" t="s">
        <v>33</v>
      </c>
      <c r="B272">
        <v>2020</v>
      </c>
      <c r="C272" t="s">
        <v>49</v>
      </c>
      <c r="D272" t="str">
        <f t="shared" si="33"/>
        <v>2020 - August</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t="s">
        <v>43</v>
      </c>
      <c r="W272">
        <v>145.80000000000001</v>
      </c>
      <c r="X272">
        <v>151.9</v>
      </c>
      <c r="Y272">
        <v>158.80000000000001</v>
      </c>
      <c r="Z272">
        <v>143.6</v>
      </c>
      <c r="AA272">
        <v>152.19999999999999</v>
      </c>
      <c r="AB272">
        <v>162.69999999999999</v>
      </c>
      <c r="AC272">
        <v>153.6</v>
      </c>
      <c r="AD272">
        <v>153</v>
      </c>
      <c r="AE272">
        <v>154.69999999999999</v>
      </c>
      <c r="AF272" s="30">
        <f t="shared" si="32"/>
        <v>2159.5</v>
      </c>
      <c r="AG272" s="30">
        <f t="shared" si="34"/>
        <v>458.7</v>
      </c>
      <c r="AH272" s="30">
        <f t="shared" si="35"/>
        <v>297.70000000000005</v>
      </c>
      <c r="AI272" s="30">
        <f t="shared" si="36"/>
        <v>312.39999999999998</v>
      </c>
      <c r="AJ272" s="30">
        <f t="shared" si="37"/>
        <v>143.6</v>
      </c>
      <c r="AK272" s="30">
        <f t="shared" si="38"/>
        <v>152.19999999999999</v>
      </c>
      <c r="AL272" s="30">
        <f t="shared" si="39"/>
        <v>162.69999999999999</v>
      </c>
    </row>
    <row r="273" spans="1:38" x14ac:dyDescent="0.3">
      <c r="A273" t="s">
        <v>36</v>
      </c>
      <c r="B273">
        <v>2020</v>
      </c>
      <c r="C273" t="s">
        <v>49</v>
      </c>
      <c r="D273" t="str">
        <f t="shared" si="33"/>
        <v>2020 - August</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c r="AF273" s="30">
        <f t="shared" si="32"/>
        <v>2212.1</v>
      </c>
      <c r="AG273" s="30">
        <f t="shared" si="34"/>
        <v>433</v>
      </c>
      <c r="AH273" s="30">
        <f t="shared" si="35"/>
        <v>438.3</v>
      </c>
      <c r="AI273" s="30">
        <f t="shared" si="36"/>
        <v>303.89999999999998</v>
      </c>
      <c r="AJ273" s="30">
        <f t="shared" si="37"/>
        <v>133.9</v>
      </c>
      <c r="AK273" s="30">
        <f t="shared" si="38"/>
        <v>141.19999999999999</v>
      </c>
      <c r="AL273" s="30">
        <f t="shared" si="39"/>
        <v>155.5</v>
      </c>
    </row>
    <row r="274" spans="1:38" x14ac:dyDescent="0.3">
      <c r="A274" t="s">
        <v>37</v>
      </c>
      <c r="B274">
        <v>2020</v>
      </c>
      <c r="C274" t="s">
        <v>49</v>
      </c>
      <c r="D274" t="str">
        <f t="shared" si="33"/>
        <v>2020 - August</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c r="AF274" s="30">
        <f t="shared" si="32"/>
        <v>2177.7999999999997</v>
      </c>
      <c r="AG274" s="30">
        <f t="shared" si="34"/>
        <v>448.2</v>
      </c>
      <c r="AH274" s="30">
        <f t="shared" si="35"/>
        <v>446.9</v>
      </c>
      <c r="AI274" s="30">
        <f t="shared" si="36"/>
        <v>309.3</v>
      </c>
      <c r="AJ274" s="30">
        <f t="shared" si="37"/>
        <v>138.5</v>
      </c>
      <c r="AK274" s="30">
        <f t="shared" si="38"/>
        <v>146</v>
      </c>
      <c r="AL274" s="30">
        <f t="shared" si="39"/>
        <v>158.5</v>
      </c>
    </row>
    <row r="275" spans="1:38" x14ac:dyDescent="0.3">
      <c r="A275" t="s">
        <v>33</v>
      </c>
      <c r="B275">
        <v>2020</v>
      </c>
      <c r="C275" t="s">
        <v>50</v>
      </c>
      <c r="D275" t="str">
        <f t="shared" si="33"/>
        <v>2020 - September</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t="s">
        <v>43</v>
      </c>
      <c r="W275">
        <v>146.4</v>
      </c>
      <c r="X275">
        <v>151.6</v>
      </c>
      <c r="Y275">
        <v>159.1</v>
      </c>
      <c r="Z275">
        <v>144.6</v>
      </c>
      <c r="AA275">
        <v>152.80000000000001</v>
      </c>
      <c r="AB275">
        <v>161.1</v>
      </c>
      <c r="AC275">
        <v>157.4</v>
      </c>
      <c r="AD275">
        <v>153.69999999999999</v>
      </c>
      <c r="AE275">
        <v>155.4</v>
      </c>
      <c r="AF275" s="30">
        <f t="shared" si="32"/>
        <v>2170.2999999999997</v>
      </c>
      <c r="AG275" s="30">
        <f t="shared" si="34"/>
        <v>459.9</v>
      </c>
      <c r="AH275" s="30">
        <f t="shared" si="35"/>
        <v>298</v>
      </c>
      <c r="AI275" s="30">
        <f t="shared" si="36"/>
        <v>316.5</v>
      </c>
      <c r="AJ275" s="30">
        <f t="shared" si="37"/>
        <v>144.6</v>
      </c>
      <c r="AK275" s="30">
        <f t="shared" si="38"/>
        <v>152.80000000000001</v>
      </c>
      <c r="AL275" s="30">
        <f t="shared" si="39"/>
        <v>161.1</v>
      </c>
    </row>
    <row r="276" spans="1:38" x14ac:dyDescent="0.3">
      <c r="A276" t="s">
        <v>36</v>
      </c>
      <c r="B276">
        <v>2020</v>
      </c>
      <c r="C276" t="s">
        <v>50</v>
      </c>
      <c r="D276" t="str">
        <f t="shared" si="33"/>
        <v>2020 - September</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c r="AF276" s="30">
        <f t="shared" si="32"/>
        <v>2230.3000000000002</v>
      </c>
      <c r="AG276" s="30">
        <f t="shared" si="34"/>
        <v>434.6</v>
      </c>
      <c r="AH276" s="30">
        <f t="shared" si="35"/>
        <v>438.9</v>
      </c>
      <c r="AI276" s="30">
        <f t="shared" si="36"/>
        <v>309.8</v>
      </c>
      <c r="AJ276" s="30">
        <f t="shared" si="37"/>
        <v>135.1</v>
      </c>
      <c r="AK276" s="30">
        <f t="shared" si="38"/>
        <v>141.80000000000001</v>
      </c>
      <c r="AL276" s="30">
        <f t="shared" si="39"/>
        <v>154.9</v>
      </c>
    </row>
    <row r="277" spans="1:38" x14ac:dyDescent="0.3">
      <c r="A277" t="s">
        <v>37</v>
      </c>
      <c r="B277">
        <v>2020</v>
      </c>
      <c r="C277" t="s">
        <v>50</v>
      </c>
      <c r="D277" t="str">
        <f t="shared" si="33"/>
        <v>2020 - September</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c r="AF277" s="30">
        <f t="shared" si="32"/>
        <v>2191.4</v>
      </c>
      <c r="AG277" s="30">
        <f t="shared" si="34"/>
        <v>449.70000000000005</v>
      </c>
      <c r="AH277" s="30">
        <f t="shared" si="35"/>
        <v>447.90000000000003</v>
      </c>
      <c r="AI277" s="30">
        <f t="shared" si="36"/>
        <v>314</v>
      </c>
      <c r="AJ277" s="30">
        <f t="shared" si="37"/>
        <v>139.6</v>
      </c>
      <c r="AK277" s="30">
        <f t="shared" si="38"/>
        <v>146.6</v>
      </c>
      <c r="AL277" s="30">
        <f t="shared" si="39"/>
        <v>157.5</v>
      </c>
    </row>
    <row r="278" spans="1:38" x14ac:dyDescent="0.3">
      <c r="A278" t="s">
        <v>33</v>
      </c>
      <c r="B278">
        <v>2020</v>
      </c>
      <c r="C278" t="s">
        <v>51</v>
      </c>
      <c r="D278" t="str">
        <f t="shared" si="33"/>
        <v>2020 - October</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t="s">
        <v>43</v>
      </c>
      <c r="W278">
        <v>146.80000000000001</v>
      </c>
      <c r="X278">
        <v>152</v>
      </c>
      <c r="Y278">
        <v>159.5</v>
      </c>
      <c r="Z278">
        <v>146.4</v>
      </c>
      <c r="AA278">
        <v>152.4</v>
      </c>
      <c r="AB278">
        <v>162.5</v>
      </c>
      <c r="AC278">
        <v>156.19999999999999</v>
      </c>
      <c r="AD278">
        <v>154.30000000000001</v>
      </c>
      <c r="AE278">
        <v>157.5</v>
      </c>
      <c r="AF278" s="30">
        <f t="shared" si="32"/>
        <v>2213.6</v>
      </c>
      <c r="AG278" s="30">
        <f t="shared" si="34"/>
        <v>461.29999999999995</v>
      </c>
      <c r="AH278" s="30">
        <f t="shared" si="35"/>
        <v>298.8</v>
      </c>
      <c r="AI278" s="30">
        <f t="shared" si="36"/>
        <v>315.7</v>
      </c>
      <c r="AJ278" s="30">
        <f t="shared" si="37"/>
        <v>146.4</v>
      </c>
      <c r="AK278" s="30">
        <f t="shared" si="38"/>
        <v>152.4</v>
      </c>
      <c r="AL278" s="30">
        <f t="shared" si="39"/>
        <v>162.5</v>
      </c>
    </row>
    <row r="279" spans="1:38" x14ac:dyDescent="0.3">
      <c r="A279" t="s">
        <v>36</v>
      </c>
      <c r="B279">
        <v>2020</v>
      </c>
      <c r="C279" t="s">
        <v>51</v>
      </c>
      <c r="D279" t="str">
        <f t="shared" si="33"/>
        <v>2020 - October</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c r="AF279" s="30">
        <f t="shared" si="32"/>
        <v>2268.8999999999996</v>
      </c>
      <c r="AG279" s="30">
        <f t="shared" si="34"/>
        <v>434.90000000000003</v>
      </c>
      <c r="AH279" s="30">
        <f t="shared" si="35"/>
        <v>438.70000000000005</v>
      </c>
      <c r="AI279" s="30">
        <f t="shared" si="36"/>
        <v>309.10000000000002</v>
      </c>
      <c r="AJ279" s="30">
        <f t="shared" si="37"/>
        <v>135.4</v>
      </c>
      <c r="AK279" s="30">
        <f t="shared" si="38"/>
        <v>142</v>
      </c>
      <c r="AL279" s="30">
        <f t="shared" si="39"/>
        <v>155.69999999999999</v>
      </c>
    </row>
    <row r="280" spans="1:38" x14ac:dyDescent="0.3">
      <c r="A280" t="s">
        <v>37</v>
      </c>
      <c r="B280">
        <v>2020</v>
      </c>
      <c r="C280" t="s">
        <v>51</v>
      </c>
      <c r="D280" t="str">
        <f t="shared" si="33"/>
        <v>2020 - October</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c r="AF280" s="30">
        <f t="shared" si="32"/>
        <v>2232.9000000000005</v>
      </c>
      <c r="AG280" s="30">
        <f t="shared" si="34"/>
        <v>450.59999999999997</v>
      </c>
      <c r="AH280" s="30">
        <f t="shared" si="35"/>
        <v>448.3</v>
      </c>
      <c r="AI280" s="30">
        <f t="shared" si="36"/>
        <v>313.3</v>
      </c>
      <c r="AJ280" s="30">
        <f t="shared" si="37"/>
        <v>140.6</v>
      </c>
      <c r="AK280" s="30">
        <f t="shared" si="38"/>
        <v>146.5</v>
      </c>
      <c r="AL280" s="30">
        <f t="shared" si="39"/>
        <v>158.5</v>
      </c>
    </row>
    <row r="281" spans="1:38" x14ac:dyDescent="0.3">
      <c r="A281" t="s">
        <v>33</v>
      </c>
      <c r="B281">
        <v>2020</v>
      </c>
      <c r="C281" t="s">
        <v>53</v>
      </c>
      <c r="D281" t="str">
        <f t="shared" si="33"/>
        <v>2020 - November</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t="s">
        <v>43</v>
      </c>
      <c r="W281">
        <v>147.5</v>
      </c>
      <c r="X281">
        <v>152.80000000000001</v>
      </c>
      <c r="Y281">
        <v>160.4</v>
      </c>
      <c r="Z281">
        <v>146.1</v>
      </c>
      <c r="AA281">
        <v>153.6</v>
      </c>
      <c r="AB281">
        <v>161.6</v>
      </c>
      <c r="AC281">
        <v>156.19999999999999</v>
      </c>
      <c r="AD281">
        <v>154.5</v>
      </c>
      <c r="AE281">
        <v>159.80000000000001</v>
      </c>
      <c r="AF281" s="30">
        <f t="shared" si="32"/>
        <v>2265.8000000000002</v>
      </c>
      <c r="AG281" s="30">
        <f t="shared" si="34"/>
        <v>462.8</v>
      </c>
      <c r="AH281" s="30">
        <f t="shared" si="35"/>
        <v>300.3</v>
      </c>
      <c r="AI281" s="30">
        <f t="shared" si="36"/>
        <v>316.60000000000002</v>
      </c>
      <c r="AJ281" s="30">
        <f t="shared" si="37"/>
        <v>146.1</v>
      </c>
      <c r="AK281" s="30">
        <f t="shared" si="38"/>
        <v>153.6</v>
      </c>
      <c r="AL281" s="30">
        <f t="shared" si="39"/>
        <v>161.6</v>
      </c>
    </row>
    <row r="282" spans="1:38" x14ac:dyDescent="0.3">
      <c r="A282" t="s">
        <v>36</v>
      </c>
      <c r="B282">
        <v>2020</v>
      </c>
      <c r="C282" t="s">
        <v>53</v>
      </c>
      <c r="D282" t="str">
        <f t="shared" si="33"/>
        <v>2020 - November</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c r="AF282" s="30">
        <f t="shared" si="32"/>
        <v>2309.5</v>
      </c>
      <c r="AG282" s="30">
        <f t="shared" si="34"/>
        <v>436.3</v>
      </c>
      <c r="AH282" s="30">
        <f t="shared" si="35"/>
        <v>440.4</v>
      </c>
      <c r="AI282" s="30">
        <f t="shared" si="36"/>
        <v>309.89999999999998</v>
      </c>
      <c r="AJ282" s="30">
        <f t="shared" si="37"/>
        <v>135.19999999999999</v>
      </c>
      <c r="AK282" s="30">
        <f t="shared" si="38"/>
        <v>144.4</v>
      </c>
      <c r="AL282" s="30">
        <f t="shared" si="39"/>
        <v>156.4</v>
      </c>
    </row>
    <row r="283" spans="1:38" x14ac:dyDescent="0.3">
      <c r="A283" t="s">
        <v>37</v>
      </c>
      <c r="B283">
        <v>2020</v>
      </c>
      <c r="C283" t="s">
        <v>53</v>
      </c>
      <c r="D283" t="str">
        <f t="shared" si="33"/>
        <v>2020 - November</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c r="AF283" s="30">
        <f t="shared" si="32"/>
        <v>2280.4</v>
      </c>
      <c r="AG283" s="30">
        <f t="shared" si="34"/>
        <v>452.00000000000006</v>
      </c>
      <c r="AH283" s="30">
        <f t="shared" si="35"/>
        <v>450.8</v>
      </c>
      <c r="AI283" s="30">
        <f t="shared" si="36"/>
        <v>314.10000000000002</v>
      </c>
      <c r="AJ283" s="30">
        <f t="shared" si="37"/>
        <v>140.4</v>
      </c>
      <c r="AK283" s="30">
        <f t="shared" si="38"/>
        <v>148.4</v>
      </c>
      <c r="AL283" s="30">
        <f t="shared" si="39"/>
        <v>158.6</v>
      </c>
    </row>
    <row r="284" spans="1:38" x14ac:dyDescent="0.3">
      <c r="A284" t="s">
        <v>33</v>
      </c>
      <c r="B284">
        <v>2020</v>
      </c>
      <c r="C284" t="s">
        <v>54</v>
      </c>
      <c r="D284" t="str">
        <f t="shared" si="33"/>
        <v>2020 - December</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t="s">
        <v>43</v>
      </c>
      <c r="W284">
        <v>148.69999999999999</v>
      </c>
      <c r="X284">
        <v>153.4</v>
      </c>
      <c r="Y284">
        <v>161.6</v>
      </c>
      <c r="Z284">
        <v>146.4</v>
      </c>
      <c r="AA284">
        <v>153.9</v>
      </c>
      <c r="AB284">
        <v>162.9</v>
      </c>
      <c r="AC284">
        <v>156.6</v>
      </c>
      <c r="AD284">
        <v>155.19999999999999</v>
      </c>
      <c r="AE284">
        <v>160.69999999999999</v>
      </c>
      <c r="AF284" s="30">
        <f t="shared" si="32"/>
        <v>2284.1</v>
      </c>
      <c r="AG284" s="30">
        <f t="shared" si="34"/>
        <v>464.90000000000003</v>
      </c>
      <c r="AH284" s="30">
        <f t="shared" si="35"/>
        <v>302.10000000000002</v>
      </c>
      <c r="AI284" s="30">
        <f t="shared" si="36"/>
        <v>318.2</v>
      </c>
      <c r="AJ284" s="30">
        <f t="shared" si="37"/>
        <v>146.4</v>
      </c>
      <c r="AK284" s="30">
        <f t="shared" si="38"/>
        <v>153.9</v>
      </c>
      <c r="AL284" s="30">
        <f t="shared" si="39"/>
        <v>162.9</v>
      </c>
    </row>
    <row r="285" spans="1:38" x14ac:dyDescent="0.3">
      <c r="A285" t="s">
        <v>36</v>
      </c>
      <c r="B285">
        <v>2020</v>
      </c>
      <c r="C285" t="s">
        <v>54</v>
      </c>
      <c r="D285" t="str">
        <f t="shared" si="33"/>
        <v>2020 - December</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c r="AF285" s="30">
        <f t="shared" si="32"/>
        <v>2315.6</v>
      </c>
      <c r="AG285" s="30">
        <f t="shared" si="34"/>
        <v>438.20000000000005</v>
      </c>
      <c r="AH285" s="30">
        <f t="shared" si="35"/>
        <v>441.8</v>
      </c>
      <c r="AI285" s="30">
        <f t="shared" si="36"/>
        <v>310.8</v>
      </c>
      <c r="AJ285" s="30">
        <f t="shared" si="37"/>
        <v>135.5</v>
      </c>
      <c r="AK285" s="30">
        <f t="shared" si="38"/>
        <v>144.30000000000001</v>
      </c>
      <c r="AL285" s="30">
        <f t="shared" si="39"/>
        <v>156.9</v>
      </c>
    </row>
    <row r="286" spans="1:38" x14ac:dyDescent="0.3">
      <c r="A286" t="s">
        <v>37</v>
      </c>
      <c r="B286">
        <v>2020</v>
      </c>
      <c r="C286" t="s">
        <v>54</v>
      </c>
      <c r="D286" t="str">
        <f t="shared" si="33"/>
        <v>2020 - December</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c r="AF286" s="30">
        <f t="shared" si="32"/>
        <v>2294.5</v>
      </c>
      <c r="AG286" s="30">
        <f t="shared" si="34"/>
        <v>454</v>
      </c>
      <c r="AH286" s="30">
        <f t="shared" si="35"/>
        <v>452.7</v>
      </c>
      <c r="AI286" s="30">
        <f t="shared" si="36"/>
        <v>315.39999999999998</v>
      </c>
      <c r="AJ286" s="30">
        <f t="shared" si="37"/>
        <v>140.69999999999999</v>
      </c>
      <c r="AK286" s="30">
        <f t="shared" si="38"/>
        <v>148.5</v>
      </c>
      <c r="AL286" s="30">
        <f t="shared" si="39"/>
        <v>159.4</v>
      </c>
    </row>
    <row r="287" spans="1:38" x14ac:dyDescent="0.3">
      <c r="A287" t="s">
        <v>33</v>
      </c>
      <c r="B287">
        <v>2021</v>
      </c>
      <c r="C287" t="s">
        <v>42</v>
      </c>
      <c r="D287" t="s">
        <v>87</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t="s">
        <v>43</v>
      </c>
      <c r="W287">
        <v>150.9</v>
      </c>
      <c r="X287">
        <v>153.9</v>
      </c>
      <c r="Y287">
        <v>162.5</v>
      </c>
      <c r="Z287">
        <v>147.5</v>
      </c>
      <c r="AA287">
        <v>155.1</v>
      </c>
      <c r="AB287">
        <v>163.5</v>
      </c>
      <c r="AC287">
        <v>156.19999999999999</v>
      </c>
      <c r="AD287">
        <v>155.9</v>
      </c>
      <c r="AE287">
        <v>158.5</v>
      </c>
      <c r="AF287" s="30">
        <f t="shared" si="32"/>
        <v>2250.2999999999997</v>
      </c>
      <c r="AG287" s="30">
        <f t="shared" si="34"/>
        <v>466.7</v>
      </c>
      <c r="AH287" s="30">
        <f t="shared" si="35"/>
        <v>304.8</v>
      </c>
      <c r="AI287" s="30">
        <f t="shared" si="36"/>
        <v>318.7</v>
      </c>
      <c r="AJ287" s="30">
        <f t="shared" si="37"/>
        <v>147.5</v>
      </c>
      <c r="AK287" s="30">
        <f t="shared" si="38"/>
        <v>155.1</v>
      </c>
      <c r="AL287" s="30">
        <f t="shared" si="39"/>
        <v>163.5</v>
      </c>
    </row>
    <row r="288" spans="1:38" x14ac:dyDescent="0.3">
      <c r="A288" t="s">
        <v>36</v>
      </c>
      <c r="B288">
        <v>2021</v>
      </c>
      <c r="C288" t="s">
        <v>42</v>
      </c>
      <c r="D288" t="s">
        <v>87</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c r="AF288" s="30">
        <f t="shared" si="32"/>
        <v>2288.8000000000002</v>
      </c>
      <c r="AG288" s="30">
        <f t="shared" si="34"/>
        <v>440</v>
      </c>
      <c r="AH288" s="30">
        <f t="shared" si="35"/>
        <v>446.3</v>
      </c>
      <c r="AI288" s="30">
        <f t="shared" si="36"/>
        <v>311.79999999999995</v>
      </c>
      <c r="AJ288" s="30">
        <f t="shared" si="37"/>
        <v>136.9</v>
      </c>
      <c r="AK288" s="30">
        <f t="shared" si="38"/>
        <v>145.4</v>
      </c>
      <c r="AL288" s="30">
        <f t="shared" si="39"/>
        <v>156.1</v>
      </c>
    </row>
    <row r="289" spans="1:38" x14ac:dyDescent="0.3">
      <c r="A289" t="s">
        <v>37</v>
      </c>
      <c r="B289">
        <v>2021</v>
      </c>
      <c r="C289" t="s">
        <v>42</v>
      </c>
      <c r="D289" t="s">
        <v>87</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s="30">
        <f t="shared" si="32"/>
        <v>2263</v>
      </c>
      <c r="AG289" s="30">
        <f t="shared" si="34"/>
        <v>455.8</v>
      </c>
      <c r="AH289" s="30">
        <f t="shared" si="35"/>
        <v>455.6</v>
      </c>
      <c r="AI289" s="30">
        <f t="shared" si="36"/>
        <v>316.10000000000002</v>
      </c>
      <c r="AJ289" s="30">
        <f t="shared" si="37"/>
        <v>141.9</v>
      </c>
      <c r="AK289" s="30">
        <f t="shared" si="38"/>
        <v>149.6</v>
      </c>
      <c r="AL289" s="30">
        <f t="shared" si="39"/>
        <v>159.19999999999999</v>
      </c>
    </row>
    <row r="290" spans="1:38" x14ac:dyDescent="0.3">
      <c r="A290" t="s">
        <v>33</v>
      </c>
      <c r="B290">
        <v>2021</v>
      </c>
      <c r="C290" t="s">
        <v>44</v>
      </c>
      <c r="D290" t="s">
        <v>86</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t="s">
        <v>43</v>
      </c>
      <c r="W290">
        <v>154.4</v>
      </c>
      <c r="X290">
        <v>154.80000000000001</v>
      </c>
      <c r="Y290">
        <v>164.3</v>
      </c>
      <c r="Z290">
        <v>150.19999999999999</v>
      </c>
      <c r="AA290">
        <v>157</v>
      </c>
      <c r="AB290">
        <v>163.6</v>
      </c>
      <c r="AC290">
        <v>155.19999999999999</v>
      </c>
      <c r="AD290">
        <v>157.19999999999999</v>
      </c>
      <c r="AE290">
        <v>156.69999999999999</v>
      </c>
      <c r="AF290" s="30">
        <f t="shared" si="32"/>
        <v>2211.8000000000002</v>
      </c>
      <c r="AG290" s="30">
        <f t="shared" si="34"/>
        <v>471.4</v>
      </c>
      <c r="AH290" s="30">
        <f t="shared" si="35"/>
        <v>309.20000000000005</v>
      </c>
      <c r="AI290" s="30">
        <f t="shared" si="36"/>
        <v>319.5</v>
      </c>
      <c r="AJ290" s="30">
        <f t="shared" si="37"/>
        <v>150.19999999999999</v>
      </c>
      <c r="AK290" s="30">
        <f t="shared" si="38"/>
        <v>157</v>
      </c>
      <c r="AL290" s="30">
        <f t="shared" si="39"/>
        <v>163.6</v>
      </c>
    </row>
    <row r="291" spans="1:38" x14ac:dyDescent="0.3">
      <c r="A291" t="s">
        <v>36</v>
      </c>
      <c r="B291">
        <v>2021</v>
      </c>
      <c r="C291" t="s">
        <v>44</v>
      </c>
      <c r="D291" t="s">
        <v>86</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c r="AF291" s="30">
        <f t="shared" si="32"/>
        <v>2259.3000000000002</v>
      </c>
      <c r="AG291" s="30">
        <f t="shared" si="34"/>
        <v>444.2</v>
      </c>
      <c r="AH291" s="30">
        <f t="shared" si="35"/>
        <v>455.4</v>
      </c>
      <c r="AI291" s="30">
        <f t="shared" si="36"/>
        <v>313</v>
      </c>
      <c r="AJ291" s="30">
        <f t="shared" si="37"/>
        <v>140.5</v>
      </c>
      <c r="AK291" s="30">
        <f t="shared" si="38"/>
        <v>147.30000000000001</v>
      </c>
      <c r="AL291" s="30">
        <f t="shared" si="39"/>
        <v>156.6</v>
      </c>
    </row>
    <row r="292" spans="1:38" x14ac:dyDescent="0.3">
      <c r="A292" t="s">
        <v>37</v>
      </c>
      <c r="B292">
        <v>2021</v>
      </c>
      <c r="C292" t="s">
        <v>44</v>
      </c>
      <c r="D292" t="s">
        <v>86</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s="30">
        <f t="shared" si="32"/>
        <v>2227.6000000000004</v>
      </c>
      <c r="AG292" s="30">
        <f t="shared" si="34"/>
        <v>460.40000000000003</v>
      </c>
      <c r="AH292" s="30">
        <f t="shared" si="35"/>
        <v>463.1</v>
      </c>
      <c r="AI292" s="30">
        <f t="shared" si="36"/>
        <v>317.10000000000002</v>
      </c>
      <c r="AJ292" s="30">
        <f t="shared" si="37"/>
        <v>145.1</v>
      </c>
      <c r="AK292" s="30">
        <f t="shared" si="38"/>
        <v>151.5</v>
      </c>
      <c r="AL292" s="30">
        <f t="shared" si="39"/>
        <v>159.5</v>
      </c>
    </row>
    <row r="293" spans="1:38" x14ac:dyDescent="0.3">
      <c r="A293" t="s">
        <v>33</v>
      </c>
      <c r="B293">
        <v>2021</v>
      </c>
      <c r="C293" t="s">
        <v>45</v>
      </c>
      <c r="D293" t="s">
        <v>90</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t="s">
        <v>35</v>
      </c>
      <c r="W293">
        <v>156</v>
      </c>
      <c r="X293">
        <v>154.80000000000001</v>
      </c>
      <c r="Y293">
        <v>164.6</v>
      </c>
      <c r="Z293">
        <v>151.30000000000001</v>
      </c>
      <c r="AA293">
        <v>157.80000000000001</v>
      </c>
      <c r="AB293">
        <v>163.80000000000001</v>
      </c>
      <c r="AC293">
        <v>153.1</v>
      </c>
      <c r="AD293">
        <v>157.30000000000001</v>
      </c>
      <c r="AE293">
        <v>156.69999999999999</v>
      </c>
      <c r="AF293" s="30">
        <f t="shared" si="32"/>
        <v>2211.8000000000002</v>
      </c>
      <c r="AG293" s="30">
        <f t="shared" si="34"/>
        <v>472.9</v>
      </c>
      <c r="AH293" s="30">
        <f t="shared" si="35"/>
        <v>310.8</v>
      </c>
      <c r="AI293" s="30">
        <f t="shared" si="36"/>
        <v>317.7</v>
      </c>
      <c r="AJ293" s="30">
        <f t="shared" si="37"/>
        <v>151.30000000000001</v>
      </c>
      <c r="AK293" s="30">
        <f t="shared" si="38"/>
        <v>157.80000000000001</v>
      </c>
      <c r="AL293" s="30">
        <f t="shared" si="39"/>
        <v>163.80000000000001</v>
      </c>
    </row>
    <row r="294" spans="1:38" x14ac:dyDescent="0.3">
      <c r="A294" t="s">
        <v>36</v>
      </c>
      <c r="B294">
        <v>2021</v>
      </c>
      <c r="C294" t="s">
        <v>45</v>
      </c>
      <c r="D294" t="s">
        <v>90</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c r="AF294" s="30">
        <f t="shared" si="32"/>
        <v>2257.9999999999995</v>
      </c>
      <c r="AG294" s="30">
        <f t="shared" si="34"/>
        <v>446.4</v>
      </c>
      <c r="AH294" s="30">
        <f t="shared" si="35"/>
        <v>461.90000000000003</v>
      </c>
      <c r="AI294" s="30">
        <f t="shared" si="36"/>
        <v>311.8</v>
      </c>
      <c r="AJ294" s="30">
        <f t="shared" si="37"/>
        <v>141.69999999999999</v>
      </c>
      <c r="AK294" s="30">
        <f t="shared" si="38"/>
        <v>148.6</v>
      </c>
      <c r="AL294" s="30">
        <f t="shared" si="39"/>
        <v>157.6</v>
      </c>
    </row>
    <row r="295" spans="1:38" x14ac:dyDescent="0.3">
      <c r="A295" t="s">
        <v>37</v>
      </c>
      <c r="B295">
        <v>2021</v>
      </c>
      <c r="C295" t="s">
        <v>45</v>
      </c>
      <c r="D295" t="s">
        <v>90</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s="30">
        <f t="shared" si="32"/>
        <v>2227.5</v>
      </c>
      <c r="AG295" s="30">
        <f t="shared" si="34"/>
        <v>462.1</v>
      </c>
      <c r="AH295" s="30">
        <f t="shared" si="35"/>
        <v>466.59999999999997</v>
      </c>
      <c r="AI295" s="30">
        <f t="shared" si="36"/>
        <v>315.5</v>
      </c>
      <c r="AJ295" s="30">
        <f t="shared" si="37"/>
        <v>146.19999999999999</v>
      </c>
      <c r="AK295" s="30">
        <f t="shared" si="38"/>
        <v>152.6</v>
      </c>
      <c r="AL295" s="30">
        <f t="shared" si="39"/>
        <v>160.19999999999999</v>
      </c>
    </row>
    <row r="296" spans="1:38" x14ac:dyDescent="0.3">
      <c r="A296" t="s">
        <v>33</v>
      </c>
      <c r="B296">
        <v>2021</v>
      </c>
      <c r="C296" t="s">
        <v>46</v>
      </c>
      <c r="D296" t="s">
        <v>83</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t="s">
        <v>35</v>
      </c>
      <c r="W296">
        <v>156</v>
      </c>
      <c r="X296">
        <v>155.5</v>
      </c>
      <c r="Y296">
        <v>165.3</v>
      </c>
      <c r="Z296">
        <v>151.69999999999999</v>
      </c>
      <c r="AA296">
        <v>158.6</v>
      </c>
      <c r="AB296">
        <v>164.1</v>
      </c>
      <c r="AC296">
        <v>154.6</v>
      </c>
      <c r="AD296">
        <v>158</v>
      </c>
      <c r="AE296">
        <v>157.6</v>
      </c>
      <c r="AF296" s="30">
        <f t="shared" si="32"/>
        <v>2236.3000000000002</v>
      </c>
      <c r="AG296" s="30">
        <f t="shared" si="34"/>
        <v>475.69999999999993</v>
      </c>
      <c r="AH296" s="30">
        <f t="shared" si="35"/>
        <v>311.5</v>
      </c>
      <c r="AI296" s="30">
        <f t="shared" si="36"/>
        <v>319.89999999999998</v>
      </c>
      <c r="AJ296" s="30">
        <f t="shared" si="37"/>
        <v>151.69999999999999</v>
      </c>
      <c r="AK296" s="30">
        <f t="shared" si="38"/>
        <v>158.6</v>
      </c>
      <c r="AL296" s="30">
        <f t="shared" si="39"/>
        <v>164.1</v>
      </c>
    </row>
    <row r="297" spans="1:38" x14ac:dyDescent="0.3">
      <c r="A297" t="s">
        <v>36</v>
      </c>
      <c r="B297">
        <v>2021</v>
      </c>
      <c r="C297" t="s">
        <v>46</v>
      </c>
      <c r="D297" t="s">
        <v>83</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c r="AF297" s="30">
        <f t="shared" si="32"/>
        <v>2284</v>
      </c>
      <c r="AG297" s="30">
        <f t="shared" si="34"/>
        <v>448.6</v>
      </c>
      <c r="AH297" s="30">
        <f t="shared" si="35"/>
        <v>463.9</v>
      </c>
      <c r="AI297" s="30">
        <f t="shared" si="36"/>
        <v>314.10000000000002</v>
      </c>
      <c r="AJ297" s="30">
        <f t="shared" si="37"/>
        <v>142.1</v>
      </c>
      <c r="AK297" s="30">
        <f t="shared" si="38"/>
        <v>149.1</v>
      </c>
      <c r="AL297" s="30">
        <f t="shared" si="39"/>
        <v>157.6</v>
      </c>
    </row>
    <row r="298" spans="1:38" x14ac:dyDescent="0.3">
      <c r="A298" t="s">
        <v>37</v>
      </c>
      <c r="B298">
        <v>2021</v>
      </c>
      <c r="C298" t="s">
        <v>46</v>
      </c>
      <c r="D298" t="s">
        <v>83</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s="30">
        <f t="shared" si="32"/>
        <v>2252.9</v>
      </c>
      <c r="AG298" s="30">
        <f t="shared" si="34"/>
        <v>464.6</v>
      </c>
      <c r="AH298" s="30">
        <f t="shared" si="35"/>
        <v>468.8</v>
      </c>
      <c r="AI298" s="30">
        <f t="shared" si="36"/>
        <v>317.70000000000005</v>
      </c>
      <c r="AJ298" s="30">
        <f t="shared" si="37"/>
        <v>146.6</v>
      </c>
      <c r="AK298" s="30">
        <f t="shared" si="38"/>
        <v>153.19999999999999</v>
      </c>
      <c r="AL298" s="30">
        <f t="shared" si="39"/>
        <v>160.30000000000001</v>
      </c>
    </row>
    <row r="299" spans="1:38" x14ac:dyDescent="0.3">
      <c r="A299" t="s">
        <v>33</v>
      </c>
      <c r="B299">
        <v>2021</v>
      </c>
      <c r="C299" t="s">
        <v>34</v>
      </c>
      <c r="D299" t="s">
        <v>91</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t="s">
        <v>43</v>
      </c>
      <c r="W299">
        <v>161.69999999999999</v>
      </c>
      <c r="X299">
        <v>158.80000000000001</v>
      </c>
      <c r="Y299">
        <v>169.1</v>
      </c>
      <c r="Z299">
        <v>153.19999999999999</v>
      </c>
      <c r="AA299">
        <v>160</v>
      </c>
      <c r="AB299">
        <v>167.6</v>
      </c>
      <c r="AC299">
        <v>159.30000000000001</v>
      </c>
      <c r="AD299">
        <v>161.1</v>
      </c>
      <c r="AE299">
        <v>161.1</v>
      </c>
      <c r="AF299" s="30">
        <f t="shared" si="32"/>
        <v>2284.8999999999996</v>
      </c>
      <c r="AG299" s="30">
        <f t="shared" si="34"/>
        <v>490.4</v>
      </c>
      <c r="AH299" s="30">
        <f t="shared" si="35"/>
        <v>320.5</v>
      </c>
      <c r="AI299" s="30">
        <f t="shared" si="36"/>
        <v>328.4</v>
      </c>
      <c r="AJ299" s="30">
        <f t="shared" si="37"/>
        <v>153.19999999999999</v>
      </c>
      <c r="AK299" s="30">
        <f t="shared" si="38"/>
        <v>160</v>
      </c>
      <c r="AL299" s="30">
        <f t="shared" si="39"/>
        <v>167.6</v>
      </c>
    </row>
    <row r="300" spans="1:38" x14ac:dyDescent="0.3">
      <c r="A300" t="s">
        <v>36</v>
      </c>
      <c r="B300">
        <v>2021</v>
      </c>
      <c r="C300" t="s">
        <v>34</v>
      </c>
      <c r="D300" t="s">
        <v>91</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c r="AF300" s="30">
        <f t="shared" si="32"/>
        <v>2322.9</v>
      </c>
      <c r="AG300" s="30">
        <f t="shared" si="34"/>
        <v>450.79999999999995</v>
      </c>
      <c r="AH300" s="30">
        <f t="shared" si="35"/>
        <v>467.20000000000005</v>
      </c>
      <c r="AI300" s="30">
        <f t="shared" si="36"/>
        <v>317.89999999999998</v>
      </c>
      <c r="AJ300" s="30">
        <f t="shared" si="37"/>
        <v>145</v>
      </c>
      <c r="AK300" s="30">
        <f t="shared" si="38"/>
        <v>152.6</v>
      </c>
      <c r="AL300" s="30">
        <f t="shared" si="39"/>
        <v>156.6</v>
      </c>
    </row>
    <row r="301" spans="1:38" x14ac:dyDescent="0.3">
      <c r="A301" t="s">
        <v>37</v>
      </c>
      <c r="B301">
        <v>2021</v>
      </c>
      <c r="C301" t="s">
        <v>34</v>
      </c>
      <c r="D301" t="s">
        <v>91</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s="30">
        <f t="shared" si="32"/>
        <v>2297.6000000000004</v>
      </c>
      <c r="AG301" s="30">
        <f t="shared" si="34"/>
        <v>474.29999999999995</v>
      </c>
      <c r="AH301" s="30">
        <f t="shared" si="35"/>
        <v>475.7</v>
      </c>
      <c r="AI301" s="30">
        <f t="shared" si="36"/>
        <v>324.39999999999998</v>
      </c>
      <c r="AJ301" s="30">
        <f t="shared" si="37"/>
        <v>148.9</v>
      </c>
      <c r="AK301" s="30">
        <f t="shared" si="38"/>
        <v>155.80000000000001</v>
      </c>
      <c r="AL301" s="30">
        <f t="shared" si="39"/>
        <v>161.19999999999999</v>
      </c>
    </row>
    <row r="302" spans="1:38" x14ac:dyDescent="0.3">
      <c r="A302" t="s">
        <v>33</v>
      </c>
      <c r="B302">
        <v>2021</v>
      </c>
      <c r="C302" t="s">
        <v>47</v>
      </c>
      <c r="D302" t="s">
        <v>89</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t="s">
        <v>43</v>
      </c>
      <c r="W302">
        <v>162.1</v>
      </c>
      <c r="X302">
        <v>159.19999999999999</v>
      </c>
      <c r="Y302">
        <v>169.7</v>
      </c>
      <c r="Z302">
        <v>154.19999999999999</v>
      </c>
      <c r="AA302">
        <v>160.4</v>
      </c>
      <c r="AB302">
        <v>166.8</v>
      </c>
      <c r="AC302">
        <v>159.4</v>
      </c>
      <c r="AD302">
        <v>161.5</v>
      </c>
      <c r="AE302">
        <v>162.1</v>
      </c>
      <c r="AF302" s="30">
        <f t="shared" si="32"/>
        <v>2311.6999999999998</v>
      </c>
      <c r="AG302" s="30">
        <f t="shared" si="34"/>
        <v>489.80000000000007</v>
      </c>
      <c r="AH302" s="30">
        <f t="shared" si="35"/>
        <v>321.29999999999995</v>
      </c>
      <c r="AI302" s="30">
        <f t="shared" si="36"/>
        <v>329.1</v>
      </c>
      <c r="AJ302" s="30">
        <f t="shared" si="37"/>
        <v>154.19999999999999</v>
      </c>
      <c r="AK302" s="30">
        <f t="shared" si="38"/>
        <v>160.4</v>
      </c>
      <c r="AL302" s="30">
        <f t="shared" si="39"/>
        <v>166.8</v>
      </c>
    </row>
    <row r="303" spans="1:38" x14ac:dyDescent="0.3">
      <c r="A303" t="s">
        <v>36</v>
      </c>
      <c r="B303">
        <v>2021</v>
      </c>
      <c r="C303" t="s">
        <v>47</v>
      </c>
      <c r="D303" t="s">
        <v>89</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c r="AF303" s="30">
        <f t="shared" si="32"/>
        <v>2349.7999999999997</v>
      </c>
      <c r="AG303" s="30">
        <f t="shared" si="34"/>
        <v>452.6</v>
      </c>
      <c r="AH303" s="30">
        <f t="shared" si="35"/>
        <v>466.40000000000003</v>
      </c>
      <c r="AI303" s="30">
        <f t="shared" si="36"/>
        <v>318.8</v>
      </c>
      <c r="AJ303" s="30">
        <f t="shared" si="37"/>
        <v>147.5</v>
      </c>
      <c r="AK303" s="30">
        <f t="shared" si="38"/>
        <v>150.69999999999999</v>
      </c>
      <c r="AL303" s="30">
        <f t="shared" si="39"/>
        <v>158.1</v>
      </c>
    </row>
    <row r="304" spans="1:38" x14ac:dyDescent="0.3">
      <c r="A304" t="s">
        <v>37</v>
      </c>
      <c r="B304">
        <v>2021</v>
      </c>
      <c r="C304" t="s">
        <v>47</v>
      </c>
      <c r="D304" t="s">
        <v>89</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s="30">
        <f t="shared" si="32"/>
        <v>2324.7000000000003</v>
      </c>
      <c r="AG304" s="30">
        <f t="shared" si="34"/>
        <v>474.7</v>
      </c>
      <c r="AH304" s="30">
        <f t="shared" si="35"/>
        <v>475.1</v>
      </c>
      <c r="AI304" s="30">
        <f t="shared" si="36"/>
        <v>325.10000000000002</v>
      </c>
      <c r="AJ304" s="30">
        <f t="shared" si="37"/>
        <v>150.69999999999999</v>
      </c>
      <c r="AK304" s="30">
        <f t="shared" si="38"/>
        <v>154.9</v>
      </c>
      <c r="AL304" s="30">
        <f t="shared" si="39"/>
        <v>161.69999999999999</v>
      </c>
    </row>
    <row r="305" spans="1:38" x14ac:dyDescent="0.3">
      <c r="A305" t="s">
        <v>33</v>
      </c>
      <c r="B305">
        <v>2021</v>
      </c>
      <c r="C305" t="s">
        <v>48</v>
      </c>
      <c r="D305" t="s">
        <v>88</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t="s">
        <v>43</v>
      </c>
      <c r="W305">
        <v>162.5</v>
      </c>
      <c r="X305">
        <v>160.30000000000001</v>
      </c>
      <c r="Y305">
        <v>170.4</v>
      </c>
      <c r="Z305">
        <v>157.1</v>
      </c>
      <c r="AA305">
        <v>160.69999999999999</v>
      </c>
      <c r="AB305">
        <v>167.2</v>
      </c>
      <c r="AC305">
        <v>160.4</v>
      </c>
      <c r="AD305">
        <v>162.80000000000001</v>
      </c>
      <c r="AE305">
        <v>163.19999999999999</v>
      </c>
      <c r="AF305" s="30">
        <f t="shared" si="32"/>
        <v>2322.1</v>
      </c>
      <c r="AG305" s="30">
        <f t="shared" si="34"/>
        <v>492.40000000000003</v>
      </c>
      <c r="AH305" s="30">
        <f t="shared" si="35"/>
        <v>322.8</v>
      </c>
      <c r="AI305" s="30">
        <f t="shared" si="36"/>
        <v>330.8</v>
      </c>
      <c r="AJ305" s="30">
        <f t="shared" si="37"/>
        <v>157.1</v>
      </c>
      <c r="AK305" s="30">
        <f t="shared" si="38"/>
        <v>160.69999999999999</v>
      </c>
      <c r="AL305" s="30">
        <f t="shared" si="39"/>
        <v>167.2</v>
      </c>
    </row>
    <row r="306" spans="1:38" x14ac:dyDescent="0.3">
      <c r="A306" t="s">
        <v>36</v>
      </c>
      <c r="B306">
        <v>2021</v>
      </c>
      <c r="C306" t="s">
        <v>48</v>
      </c>
      <c r="D306" t="s">
        <v>88</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c r="AF306" s="30">
        <f t="shared" si="32"/>
        <v>2367.3000000000002</v>
      </c>
      <c r="AG306" s="30">
        <f t="shared" si="34"/>
        <v>455.3</v>
      </c>
      <c r="AH306" s="30">
        <f t="shared" si="35"/>
        <v>469.9</v>
      </c>
      <c r="AI306" s="30">
        <f t="shared" si="36"/>
        <v>321.10000000000002</v>
      </c>
      <c r="AJ306" s="30">
        <f t="shared" si="37"/>
        <v>149.5</v>
      </c>
      <c r="AK306" s="30">
        <f t="shared" si="38"/>
        <v>151.19999999999999</v>
      </c>
      <c r="AL306" s="30">
        <f t="shared" si="39"/>
        <v>160.30000000000001</v>
      </c>
    </row>
    <row r="307" spans="1:38" x14ac:dyDescent="0.3">
      <c r="A307" t="s">
        <v>37</v>
      </c>
      <c r="B307">
        <v>2021</v>
      </c>
      <c r="C307" t="s">
        <v>48</v>
      </c>
      <c r="D307" t="s">
        <v>88</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s="30">
        <f t="shared" si="32"/>
        <v>2338.1999999999998</v>
      </c>
      <c r="AG307" s="30">
        <f t="shared" si="34"/>
        <v>477.29999999999995</v>
      </c>
      <c r="AH307" s="30">
        <f t="shared" si="35"/>
        <v>478</v>
      </c>
      <c r="AI307" s="30">
        <f t="shared" si="36"/>
        <v>327.10000000000002</v>
      </c>
      <c r="AJ307" s="30">
        <f t="shared" si="37"/>
        <v>153.1</v>
      </c>
      <c r="AK307" s="30">
        <f t="shared" si="38"/>
        <v>155.30000000000001</v>
      </c>
      <c r="AL307" s="30">
        <f t="shared" si="39"/>
        <v>163.19999999999999</v>
      </c>
    </row>
    <row r="308" spans="1:38" x14ac:dyDescent="0.3">
      <c r="A308" t="s">
        <v>33</v>
      </c>
      <c r="B308">
        <v>2021</v>
      </c>
      <c r="C308" t="s">
        <v>49</v>
      </c>
      <c r="D308" t="s">
        <v>84</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t="s">
        <v>43</v>
      </c>
      <c r="W308">
        <v>163.1</v>
      </c>
      <c r="X308">
        <v>160.9</v>
      </c>
      <c r="Y308">
        <v>171.1</v>
      </c>
      <c r="Z308">
        <v>157.69999999999999</v>
      </c>
      <c r="AA308">
        <v>161.1</v>
      </c>
      <c r="AB308">
        <v>167.5</v>
      </c>
      <c r="AC308">
        <v>160.30000000000001</v>
      </c>
      <c r="AD308">
        <v>163.30000000000001</v>
      </c>
      <c r="AE308">
        <v>163.6</v>
      </c>
      <c r="AF308" s="30">
        <f t="shared" si="32"/>
        <v>2321</v>
      </c>
      <c r="AG308" s="30">
        <f t="shared" si="34"/>
        <v>495.90000000000003</v>
      </c>
      <c r="AH308" s="30">
        <f t="shared" si="35"/>
        <v>324</v>
      </c>
      <c r="AI308" s="30">
        <f t="shared" si="36"/>
        <v>331.4</v>
      </c>
      <c r="AJ308" s="30">
        <f t="shared" si="37"/>
        <v>157.69999999999999</v>
      </c>
      <c r="AK308" s="30">
        <f t="shared" si="38"/>
        <v>161.1</v>
      </c>
      <c r="AL308" s="30">
        <f t="shared" si="39"/>
        <v>167.5</v>
      </c>
    </row>
    <row r="309" spans="1:38" x14ac:dyDescent="0.3">
      <c r="A309" t="s">
        <v>36</v>
      </c>
      <c r="B309">
        <v>2021</v>
      </c>
      <c r="C309" t="s">
        <v>49</v>
      </c>
      <c r="D309" t="s">
        <v>84</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c r="AF309" s="30">
        <f t="shared" si="32"/>
        <v>2354.4</v>
      </c>
      <c r="AG309" s="30">
        <f t="shared" si="34"/>
        <v>460.7</v>
      </c>
      <c r="AH309" s="30">
        <f t="shared" si="35"/>
        <v>475.99999999999994</v>
      </c>
      <c r="AI309" s="30">
        <f t="shared" si="36"/>
        <v>322.39999999999998</v>
      </c>
      <c r="AJ309" s="30">
        <f t="shared" si="37"/>
        <v>150.4</v>
      </c>
      <c r="AK309" s="30">
        <f t="shared" si="38"/>
        <v>153.69999999999999</v>
      </c>
      <c r="AL309" s="30">
        <f t="shared" si="39"/>
        <v>160.4</v>
      </c>
    </row>
    <row r="310" spans="1:38" x14ac:dyDescent="0.3">
      <c r="A310" t="s">
        <v>37</v>
      </c>
      <c r="B310">
        <v>2021</v>
      </c>
      <c r="C310" t="s">
        <v>49</v>
      </c>
      <c r="D310" t="s">
        <v>84</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s="30">
        <f t="shared" si="32"/>
        <v>2334.1</v>
      </c>
      <c r="AG310" s="30">
        <f t="shared" si="34"/>
        <v>483</v>
      </c>
      <c r="AH310" s="30">
        <f t="shared" si="35"/>
        <v>482.2</v>
      </c>
      <c r="AI310" s="30">
        <f t="shared" si="36"/>
        <v>328.4</v>
      </c>
      <c r="AJ310" s="30">
        <f t="shared" si="37"/>
        <v>154</v>
      </c>
      <c r="AK310" s="30">
        <f t="shared" si="38"/>
        <v>157.6</v>
      </c>
      <c r="AL310" s="30">
        <f t="shared" si="39"/>
        <v>163.80000000000001</v>
      </c>
    </row>
    <row r="311" spans="1:38" x14ac:dyDescent="0.3">
      <c r="A311" t="s">
        <v>33</v>
      </c>
      <c r="B311">
        <v>2021</v>
      </c>
      <c r="C311" t="s">
        <v>50</v>
      </c>
      <c r="D311" t="s">
        <v>94</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t="s">
        <v>43</v>
      </c>
      <c r="W311">
        <v>163.69999999999999</v>
      </c>
      <c r="X311">
        <v>161.30000000000001</v>
      </c>
      <c r="Y311">
        <v>171.9</v>
      </c>
      <c r="Z311">
        <v>157.80000000000001</v>
      </c>
      <c r="AA311">
        <v>162.69999999999999</v>
      </c>
      <c r="AB311">
        <v>168.5</v>
      </c>
      <c r="AC311">
        <v>160.19999999999999</v>
      </c>
      <c r="AD311">
        <v>163.80000000000001</v>
      </c>
      <c r="AE311">
        <v>164</v>
      </c>
      <c r="AF311" s="30">
        <f t="shared" si="32"/>
        <v>2324.1</v>
      </c>
      <c r="AG311" s="30">
        <f t="shared" si="34"/>
        <v>498.4</v>
      </c>
      <c r="AH311" s="30">
        <f t="shared" si="35"/>
        <v>325</v>
      </c>
      <c r="AI311" s="30">
        <f t="shared" si="36"/>
        <v>332.1</v>
      </c>
      <c r="AJ311" s="30">
        <f t="shared" si="37"/>
        <v>157.80000000000001</v>
      </c>
      <c r="AK311" s="30">
        <f t="shared" si="38"/>
        <v>162.69999999999999</v>
      </c>
      <c r="AL311" s="30">
        <f t="shared" si="39"/>
        <v>168.5</v>
      </c>
    </row>
    <row r="312" spans="1:38" x14ac:dyDescent="0.3">
      <c r="A312" t="s">
        <v>36</v>
      </c>
      <c r="B312">
        <v>2021</v>
      </c>
      <c r="C312" t="s">
        <v>50</v>
      </c>
      <c r="D312" t="s">
        <v>94</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c r="AF312" s="30">
        <f t="shared" si="32"/>
        <v>2354.4</v>
      </c>
      <c r="AG312" s="30">
        <f t="shared" si="34"/>
        <v>460.79999999999995</v>
      </c>
      <c r="AH312" s="30">
        <f t="shared" si="35"/>
        <v>476.2</v>
      </c>
      <c r="AI312" s="30">
        <f t="shared" si="36"/>
        <v>322.39999999999998</v>
      </c>
      <c r="AJ312" s="30">
        <f t="shared" si="37"/>
        <v>150.5</v>
      </c>
      <c r="AK312" s="30">
        <f t="shared" si="38"/>
        <v>153.9</v>
      </c>
      <c r="AL312" s="30">
        <f t="shared" si="39"/>
        <v>160.30000000000001</v>
      </c>
    </row>
    <row r="313" spans="1:38" x14ac:dyDescent="0.3">
      <c r="A313" t="s">
        <v>37</v>
      </c>
      <c r="B313">
        <v>2021</v>
      </c>
      <c r="C313" t="s">
        <v>50</v>
      </c>
      <c r="D313" t="s">
        <v>94</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s="30">
        <f t="shared" si="32"/>
        <v>2334.1</v>
      </c>
      <c r="AG313" s="30">
        <f t="shared" si="34"/>
        <v>483.2</v>
      </c>
      <c r="AH313" s="30">
        <f t="shared" si="35"/>
        <v>482.2</v>
      </c>
      <c r="AI313" s="30">
        <f t="shared" si="36"/>
        <v>328.4</v>
      </c>
      <c r="AJ313" s="30">
        <f t="shared" si="37"/>
        <v>154</v>
      </c>
      <c r="AK313" s="30">
        <f t="shared" si="38"/>
        <v>157.69999999999999</v>
      </c>
      <c r="AL313" s="30">
        <f t="shared" si="39"/>
        <v>163.69999999999999</v>
      </c>
    </row>
    <row r="314" spans="1:38" x14ac:dyDescent="0.3">
      <c r="A314" t="s">
        <v>33</v>
      </c>
      <c r="B314">
        <v>2021</v>
      </c>
      <c r="C314" t="s">
        <v>51</v>
      </c>
      <c r="D314" t="s">
        <v>93</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t="s">
        <v>43</v>
      </c>
      <c r="W314">
        <v>165.5</v>
      </c>
      <c r="X314">
        <v>162</v>
      </c>
      <c r="Y314">
        <v>172.5</v>
      </c>
      <c r="Z314">
        <v>159.5</v>
      </c>
      <c r="AA314">
        <v>163.19999999999999</v>
      </c>
      <c r="AB314">
        <v>169</v>
      </c>
      <c r="AC314">
        <v>161.1</v>
      </c>
      <c r="AD314">
        <v>164.7</v>
      </c>
      <c r="AE314">
        <v>166.3</v>
      </c>
      <c r="AF314" s="30">
        <f t="shared" si="32"/>
        <v>2355.3999999999996</v>
      </c>
      <c r="AG314" s="30">
        <f t="shared" si="34"/>
        <v>502.00000000000006</v>
      </c>
      <c r="AH314" s="30">
        <f t="shared" si="35"/>
        <v>327.5</v>
      </c>
      <c r="AI314" s="30">
        <f t="shared" si="36"/>
        <v>333.6</v>
      </c>
      <c r="AJ314" s="30">
        <f t="shared" si="37"/>
        <v>159.5</v>
      </c>
      <c r="AK314" s="30">
        <f t="shared" si="38"/>
        <v>163.19999999999999</v>
      </c>
      <c r="AL314" s="30">
        <f t="shared" si="39"/>
        <v>169</v>
      </c>
    </row>
    <row r="315" spans="1:38" x14ac:dyDescent="0.3">
      <c r="A315" t="s">
        <v>36</v>
      </c>
      <c r="B315">
        <v>2021</v>
      </c>
      <c r="C315" t="s">
        <v>51</v>
      </c>
      <c r="D315" t="s">
        <v>93</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c r="AF315" s="30">
        <f t="shared" si="32"/>
        <v>2395.4000000000005</v>
      </c>
      <c r="AG315" s="30">
        <f t="shared" si="34"/>
        <v>463.50000000000006</v>
      </c>
      <c r="AH315" s="30">
        <f t="shared" si="35"/>
        <v>480.09999999999997</v>
      </c>
      <c r="AI315" s="30">
        <f t="shared" si="36"/>
        <v>323.8</v>
      </c>
      <c r="AJ315" s="30">
        <f t="shared" si="37"/>
        <v>152.19999999999999</v>
      </c>
      <c r="AK315" s="30">
        <f t="shared" si="38"/>
        <v>155.1</v>
      </c>
      <c r="AL315" s="30">
        <f t="shared" si="39"/>
        <v>160.30000000000001</v>
      </c>
    </row>
    <row r="316" spans="1:38" x14ac:dyDescent="0.3">
      <c r="A316" t="s">
        <v>37</v>
      </c>
      <c r="B316">
        <v>2021</v>
      </c>
      <c r="C316" t="s">
        <v>51</v>
      </c>
      <c r="D316" t="s">
        <v>93</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s="30">
        <f t="shared" si="32"/>
        <v>2368.1999999999998</v>
      </c>
      <c r="AG316" s="30">
        <f t="shared" si="34"/>
        <v>486.3</v>
      </c>
      <c r="AH316" s="30">
        <f t="shared" si="35"/>
        <v>486.19999999999993</v>
      </c>
      <c r="AI316" s="30">
        <f t="shared" si="36"/>
        <v>329.9</v>
      </c>
      <c r="AJ316" s="30">
        <f t="shared" si="37"/>
        <v>155.69999999999999</v>
      </c>
      <c r="AK316" s="30">
        <f t="shared" si="38"/>
        <v>158.6</v>
      </c>
      <c r="AL316" s="30">
        <f t="shared" si="39"/>
        <v>163.9</v>
      </c>
    </row>
    <row r="317" spans="1:38" x14ac:dyDescent="0.3">
      <c r="A317" t="s">
        <v>33</v>
      </c>
      <c r="B317">
        <v>2021</v>
      </c>
      <c r="C317" t="s">
        <v>53</v>
      </c>
      <c r="D317" t="s">
        <v>92</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t="s">
        <v>43</v>
      </c>
      <c r="W317">
        <v>165.3</v>
      </c>
      <c r="X317">
        <v>162.9</v>
      </c>
      <c r="Y317">
        <v>173.4</v>
      </c>
      <c r="Z317">
        <v>158.9</v>
      </c>
      <c r="AA317">
        <v>163.80000000000001</v>
      </c>
      <c r="AB317">
        <v>169.3</v>
      </c>
      <c r="AC317">
        <v>162.4</v>
      </c>
      <c r="AD317">
        <v>165.2</v>
      </c>
      <c r="AE317">
        <v>167.6</v>
      </c>
      <c r="AF317" s="30">
        <f t="shared" si="32"/>
        <v>2373.4</v>
      </c>
      <c r="AG317" s="30">
        <f t="shared" si="34"/>
        <v>506.2</v>
      </c>
      <c r="AH317" s="30">
        <f t="shared" si="35"/>
        <v>328.20000000000005</v>
      </c>
      <c r="AI317" s="30">
        <f t="shared" si="36"/>
        <v>335.8</v>
      </c>
      <c r="AJ317" s="30">
        <f t="shared" si="37"/>
        <v>158.9</v>
      </c>
      <c r="AK317" s="30">
        <f t="shared" si="38"/>
        <v>163.80000000000001</v>
      </c>
      <c r="AL317" s="30">
        <f t="shared" si="39"/>
        <v>169.3</v>
      </c>
    </row>
    <row r="318" spans="1:38" x14ac:dyDescent="0.3">
      <c r="A318" t="s">
        <v>36</v>
      </c>
      <c r="B318">
        <v>2021</v>
      </c>
      <c r="C318" t="s">
        <v>53</v>
      </c>
      <c r="D318" t="s">
        <v>92</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c r="AF318" s="30">
        <f t="shared" si="32"/>
        <v>2414.8999999999996</v>
      </c>
      <c r="AG318" s="30">
        <f t="shared" si="34"/>
        <v>467.3</v>
      </c>
      <c r="AH318" s="30">
        <f t="shared" si="35"/>
        <v>480.99999999999994</v>
      </c>
      <c r="AI318" s="30">
        <f t="shared" si="36"/>
        <v>326</v>
      </c>
      <c r="AJ318" s="30">
        <f t="shared" si="37"/>
        <v>151.19999999999999</v>
      </c>
      <c r="AK318" s="30">
        <f t="shared" si="38"/>
        <v>156.69999999999999</v>
      </c>
      <c r="AL318" s="30">
        <f t="shared" si="39"/>
        <v>160.80000000000001</v>
      </c>
    </row>
    <row r="319" spans="1:38" x14ac:dyDescent="0.3">
      <c r="A319" t="s">
        <v>37</v>
      </c>
      <c r="B319">
        <v>2021</v>
      </c>
      <c r="C319" t="s">
        <v>53</v>
      </c>
      <c r="D319" t="s">
        <v>92</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s="30">
        <f t="shared" si="32"/>
        <v>2387</v>
      </c>
      <c r="AG319" s="30">
        <f t="shared" si="34"/>
        <v>490.40000000000003</v>
      </c>
      <c r="AH319" s="30">
        <f t="shared" si="35"/>
        <v>487.40000000000003</v>
      </c>
      <c r="AI319" s="30">
        <f t="shared" si="36"/>
        <v>332.1</v>
      </c>
      <c r="AJ319" s="30">
        <f t="shared" si="37"/>
        <v>154.80000000000001</v>
      </c>
      <c r="AK319" s="30">
        <f t="shared" si="38"/>
        <v>159.80000000000001</v>
      </c>
      <c r="AL319" s="30">
        <f t="shared" si="39"/>
        <v>164.3</v>
      </c>
    </row>
    <row r="320" spans="1:38" x14ac:dyDescent="0.3">
      <c r="A320" t="s">
        <v>33</v>
      </c>
      <c r="B320">
        <v>2021</v>
      </c>
      <c r="C320" t="s">
        <v>54</v>
      </c>
      <c r="D320" t="s">
        <v>85</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t="s">
        <v>43</v>
      </c>
      <c r="W320">
        <v>165.6</v>
      </c>
      <c r="X320">
        <v>163.9</v>
      </c>
      <c r="Y320">
        <v>174</v>
      </c>
      <c r="Z320">
        <v>160.1</v>
      </c>
      <c r="AA320">
        <v>164.5</v>
      </c>
      <c r="AB320">
        <v>169.7</v>
      </c>
      <c r="AC320">
        <v>162.80000000000001</v>
      </c>
      <c r="AD320">
        <v>166</v>
      </c>
      <c r="AE320">
        <v>167</v>
      </c>
      <c r="AF320" s="30">
        <f t="shared" si="32"/>
        <v>2359</v>
      </c>
      <c r="AG320" s="30">
        <f t="shared" si="34"/>
        <v>510.3</v>
      </c>
      <c r="AH320" s="30">
        <f t="shared" si="35"/>
        <v>329.5</v>
      </c>
      <c r="AI320" s="30">
        <f t="shared" si="36"/>
        <v>336.8</v>
      </c>
      <c r="AJ320" s="30">
        <f t="shared" si="37"/>
        <v>160.1</v>
      </c>
      <c r="AK320" s="30">
        <f t="shared" si="38"/>
        <v>164.5</v>
      </c>
      <c r="AL320" s="30">
        <f t="shared" si="39"/>
        <v>169.7</v>
      </c>
    </row>
    <row r="321" spans="1:38" x14ac:dyDescent="0.3">
      <c r="A321" t="s">
        <v>36</v>
      </c>
      <c r="B321">
        <v>2021</v>
      </c>
      <c r="C321" t="s">
        <v>54</v>
      </c>
      <c r="D321" t="s">
        <v>85</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c r="AF321" s="30">
        <f t="shared" si="32"/>
        <v>2403.1000000000004</v>
      </c>
      <c r="AG321" s="30">
        <f t="shared" si="34"/>
        <v>470.7</v>
      </c>
      <c r="AH321" s="30">
        <f t="shared" si="35"/>
        <v>481.1</v>
      </c>
      <c r="AI321" s="30">
        <f t="shared" si="36"/>
        <v>327.5</v>
      </c>
      <c r="AJ321" s="30">
        <f t="shared" si="37"/>
        <v>151.80000000000001</v>
      </c>
      <c r="AK321" s="30">
        <f t="shared" si="38"/>
        <v>157.6</v>
      </c>
      <c r="AL321" s="30">
        <f t="shared" si="39"/>
        <v>160.6</v>
      </c>
    </row>
    <row r="322" spans="1:38" x14ac:dyDescent="0.3">
      <c r="A322" t="s">
        <v>37</v>
      </c>
      <c r="B322">
        <v>2021</v>
      </c>
      <c r="C322" t="s">
        <v>54</v>
      </c>
      <c r="D322" t="s">
        <v>85</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s="30">
        <f t="shared" ref="AF322:AF373" si="40">SUM(E322:R322)</f>
        <v>2373.3000000000002</v>
      </c>
      <c r="AG322" s="30">
        <f t="shared" si="34"/>
        <v>494.2</v>
      </c>
      <c r="AH322" s="30">
        <f t="shared" si="35"/>
        <v>487.7</v>
      </c>
      <c r="AI322" s="30">
        <f t="shared" si="36"/>
        <v>333.2</v>
      </c>
      <c r="AJ322" s="30">
        <f t="shared" si="37"/>
        <v>155.69999999999999</v>
      </c>
      <c r="AK322" s="30">
        <f t="shared" si="38"/>
        <v>160.6</v>
      </c>
      <c r="AL322" s="30">
        <f t="shared" si="39"/>
        <v>164.4</v>
      </c>
    </row>
    <row r="323" spans="1:38" x14ac:dyDescent="0.3">
      <c r="A323" t="s">
        <v>33</v>
      </c>
      <c r="B323">
        <v>2022</v>
      </c>
      <c r="C323" t="s">
        <v>42</v>
      </c>
      <c r="D323" t="s">
        <v>97</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t="s">
        <v>43</v>
      </c>
      <c r="W323">
        <v>165.8</v>
      </c>
      <c r="X323">
        <v>164.9</v>
      </c>
      <c r="Y323">
        <v>174.7</v>
      </c>
      <c r="Z323">
        <v>160.80000000000001</v>
      </c>
      <c r="AA323">
        <v>164.9</v>
      </c>
      <c r="AB323">
        <v>169.9</v>
      </c>
      <c r="AC323">
        <v>163.19999999999999</v>
      </c>
      <c r="AD323">
        <v>166.6</v>
      </c>
      <c r="AE323">
        <v>166.4</v>
      </c>
      <c r="AF323" s="30">
        <f t="shared" si="40"/>
        <v>2343.6999999999998</v>
      </c>
      <c r="AG323" s="30">
        <f t="shared" ref="AG323:AG373" si="41">SUM(S323:U323)</f>
        <v>515.20000000000005</v>
      </c>
      <c r="AH323" s="30">
        <f t="shared" ref="AH323:AH373" si="42">SUM(V323:X323)</f>
        <v>330.70000000000005</v>
      </c>
      <c r="AI323" s="30">
        <f t="shared" ref="AI323:AI373" si="43">SUM(Y323,AC323)</f>
        <v>337.9</v>
      </c>
      <c r="AJ323" s="30">
        <f t="shared" ref="AJ323:AJ373" si="44">SUM(Z323)</f>
        <v>160.80000000000001</v>
      </c>
      <c r="AK323" s="30">
        <f t="shared" ref="AK323:AK373" si="45">SUM(AA323)</f>
        <v>164.9</v>
      </c>
      <c r="AL323" s="30">
        <f t="shared" ref="AL323:AL373" si="46">SUM(AB323)</f>
        <v>169.9</v>
      </c>
    </row>
    <row r="324" spans="1:38" x14ac:dyDescent="0.3">
      <c r="A324" t="s">
        <v>36</v>
      </c>
      <c r="B324">
        <v>2022</v>
      </c>
      <c r="C324" t="s">
        <v>42</v>
      </c>
      <c r="D324" t="s">
        <v>97</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c r="AF324" s="30">
        <f t="shared" si="40"/>
        <v>2383.1</v>
      </c>
      <c r="AG324" s="30">
        <f t="shared" si="41"/>
        <v>475.4</v>
      </c>
      <c r="AH324" s="30">
        <f t="shared" si="42"/>
        <v>482.90000000000003</v>
      </c>
      <c r="AI324" s="30">
        <f t="shared" si="43"/>
        <v>328.9</v>
      </c>
      <c r="AJ324" s="30">
        <f t="shared" si="44"/>
        <v>152.69999999999999</v>
      </c>
      <c r="AK324" s="30">
        <f t="shared" si="45"/>
        <v>158.4</v>
      </c>
      <c r="AL324" s="30">
        <f t="shared" si="46"/>
        <v>161</v>
      </c>
    </row>
    <row r="325" spans="1:38" x14ac:dyDescent="0.3">
      <c r="A325" t="s">
        <v>37</v>
      </c>
      <c r="B325">
        <v>2022</v>
      </c>
      <c r="C325" t="s">
        <v>42</v>
      </c>
      <c r="D325" t="s">
        <v>97</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s="30">
        <f t="shared" si="40"/>
        <v>2356.3999999999996</v>
      </c>
      <c r="AG325" s="30">
        <f t="shared" si="41"/>
        <v>499.1</v>
      </c>
      <c r="AH325" s="30">
        <f t="shared" si="42"/>
        <v>489.79999999999995</v>
      </c>
      <c r="AI325" s="30">
        <f t="shared" si="43"/>
        <v>334.4</v>
      </c>
      <c r="AJ325" s="30">
        <f t="shared" si="44"/>
        <v>156.5</v>
      </c>
      <c r="AK325" s="30">
        <f t="shared" si="45"/>
        <v>161.19999999999999</v>
      </c>
      <c r="AL325" s="30">
        <f t="shared" si="46"/>
        <v>164.7</v>
      </c>
    </row>
    <row r="326" spans="1:38" x14ac:dyDescent="0.3">
      <c r="A326" t="s">
        <v>33</v>
      </c>
      <c r="B326">
        <v>2022</v>
      </c>
      <c r="C326" t="s">
        <v>44</v>
      </c>
      <c r="D326" t="s">
        <v>96</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t="s">
        <v>43</v>
      </c>
      <c r="W326">
        <v>167.4</v>
      </c>
      <c r="X326">
        <v>165.7</v>
      </c>
      <c r="Y326">
        <v>175.3</v>
      </c>
      <c r="Z326">
        <v>161.19999999999999</v>
      </c>
      <c r="AA326">
        <v>165.5</v>
      </c>
      <c r="AB326">
        <v>170.3</v>
      </c>
      <c r="AC326">
        <v>164.5</v>
      </c>
      <c r="AD326">
        <v>167.3</v>
      </c>
      <c r="AE326">
        <v>166.7</v>
      </c>
      <c r="AF326" s="30">
        <f t="shared" si="40"/>
        <v>2341.9</v>
      </c>
      <c r="AG326" s="30">
        <f t="shared" si="41"/>
        <v>518.79999999999995</v>
      </c>
      <c r="AH326" s="30">
        <f t="shared" si="42"/>
        <v>333.1</v>
      </c>
      <c r="AI326" s="30">
        <f t="shared" si="43"/>
        <v>339.8</v>
      </c>
      <c r="AJ326" s="30">
        <f t="shared" si="44"/>
        <v>161.19999999999999</v>
      </c>
      <c r="AK326" s="30">
        <f t="shared" si="45"/>
        <v>165.5</v>
      </c>
      <c r="AL326" s="30">
        <f t="shared" si="46"/>
        <v>170.3</v>
      </c>
    </row>
    <row r="327" spans="1:38" x14ac:dyDescent="0.3">
      <c r="A327" t="s">
        <v>36</v>
      </c>
      <c r="B327">
        <v>2022</v>
      </c>
      <c r="C327" t="s">
        <v>44</v>
      </c>
      <c r="D327" t="s">
        <v>96</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c r="AF327" s="30">
        <f t="shared" si="40"/>
        <v>2380</v>
      </c>
      <c r="AG327" s="30">
        <f t="shared" si="41"/>
        <v>479.5</v>
      </c>
      <c r="AH327" s="30">
        <f t="shared" si="42"/>
        <v>485.9</v>
      </c>
      <c r="AI327" s="30">
        <f t="shared" si="43"/>
        <v>331.4</v>
      </c>
      <c r="AJ327" s="30">
        <f t="shared" si="44"/>
        <v>153.1</v>
      </c>
      <c r="AK327" s="30">
        <f t="shared" si="45"/>
        <v>159.5</v>
      </c>
      <c r="AL327" s="30">
        <f t="shared" si="46"/>
        <v>162</v>
      </c>
    </row>
    <row r="328" spans="1:38" x14ac:dyDescent="0.3">
      <c r="A328" t="s">
        <v>37</v>
      </c>
      <c r="B328">
        <v>2022</v>
      </c>
      <c r="C328" t="s">
        <v>44</v>
      </c>
      <c r="D328" t="s">
        <v>96</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s="30">
        <f t="shared" si="40"/>
        <v>2354.0000000000005</v>
      </c>
      <c r="AG328" s="30">
        <f t="shared" si="41"/>
        <v>502.80000000000007</v>
      </c>
      <c r="AH328" s="30">
        <f t="shared" si="42"/>
        <v>493</v>
      </c>
      <c r="AI328" s="30">
        <f t="shared" si="43"/>
        <v>336.6</v>
      </c>
      <c r="AJ328" s="30">
        <f t="shared" si="44"/>
        <v>156.9</v>
      </c>
      <c r="AK328" s="30">
        <f t="shared" si="45"/>
        <v>162.1</v>
      </c>
      <c r="AL328" s="30">
        <f t="shared" si="46"/>
        <v>165.4</v>
      </c>
    </row>
    <row r="329" spans="1:38" x14ac:dyDescent="0.3">
      <c r="A329" t="s">
        <v>33</v>
      </c>
      <c r="B329">
        <v>2022</v>
      </c>
      <c r="C329" t="s">
        <v>45</v>
      </c>
      <c r="D329" t="s">
        <v>98</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t="s">
        <v>43</v>
      </c>
      <c r="W329">
        <v>168.9</v>
      </c>
      <c r="X329">
        <v>166.5</v>
      </c>
      <c r="Y329">
        <v>176</v>
      </c>
      <c r="Z329">
        <v>162</v>
      </c>
      <c r="AA329">
        <v>166.6</v>
      </c>
      <c r="AB329">
        <v>170.6</v>
      </c>
      <c r="AC329">
        <v>167.4</v>
      </c>
      <c r="AD329">
        <v>168.3</v>
      </c>
      <c r="AE329">
        <v>168.7</v>
      </c>
      <c r="AF329" s="30">
        <f t="shared" si="40"/>
        <v>2371.4000000000005</v>
      </c>
      <c r="AG329" s="30">
        <f t="shared" si="41"/>
        <v>523.70000000000005</v>
      </c>
      <c r="AH329" s="30">
        <f t="shared" si="42"/>
        <v>335.4</v>
      </c>
      <c r="AI329" s="30">
        <f t="shared" si="43"/>
        <v>343.4</v>
      </c>
      <c r="AJ329" s="30">
        <f t="shared" si="44"/>
        <v>162</v>
      </c>
      <c r="AK329" s="30">
        <f t="shared" si="45"/>
        <v>166.6</v>
      </c>
      <c r="AL329" s="30">
        <f t="shared" si="46"/>
        <v>170.6</v>
      </c>
    </row>
    <row r="330" spans="1:38" x14ac:dyDescent="0.3">
      <c r="A330" t="s">
        <v>36</v>
      </c>
      <c r="B330">
        <v>2022</v>
      </c>
      <c r="C330" t="s">
        <v>45</v>
      </c>
      <c r="D330" t="s">
        <v>98</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c r="AF330" s="30">
        <f t="shared" si="40"/>
        <v>2393.8000000000002</v>
      </c>
      <c r="AG330" s="30">
        <f t="shared" si="41"/>
        <v>484.6</v>
      </c>
      <c r="AH330" s="30">
        <f t="shared" si="42"/>
        <v>488.4</v>
      </c>
      <c r="AI330" s="30">
        <f t="shared" si="43"/>
        <v>335</v>
      </c>
      <c r="AJ330" s="30">
        <f t="shared" si="44"/>
        <v>154.19999999999999</v>
      </c>
      <c r="AK330" s="30">
        <f t="shared" si="45"/>
        <v>160.80000000000001</v>
      </c>
      <c r="AL330" s="30">
        <f t="shared" si="46"/>
        <v>162.69999999999999</v>
      </c>
    </row>
    <row r="331" spans="1:38" x14ac:dyDescent="0.3">
      <c r="A331" t="s">
        <v>37</v>
      </c>
      <c r="B331">
        <v>2022</v>
      </c>
      <c r="C331" t="s">
        <v>45</v>
      </c>
      <c r="D331" t="s">
        <v>98</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s="30">
        <f t="shared" si="40"/>
        <v>2377.9</v>
      </c>
      <c r="AG331" s="30">
        <f t="shared" si="41"/>
        <v>507.79999999999995</v>
      </c>
      <c r="AH331" s="30">
        <f t="shared" si="42"/>
        <v>495.3</v>
      </c>
      <c r="AI331" s="30">
        <f t="shared" si="43"/>
        <v>340.2</v>
      </c>
      <c r="AJ331" s="30">
        <f t="shared" si="44"/>
        <v>157.9</v>
      </c>
      <c r="AK331" s="30">
        <f t="shared" si="45"/>
        <v>163.30000000000001</v>
      </c>
      <c r="AL331" s="30">
        <f t="shared" si="46"/>
        <v>166</v>
      </c>
    </row>
    <row r="332" spans="1:38" x14ac:dyDescent="0.3">
      <c r="A332" t="s">
        <v>33</v>
      </c>
      <c r="B332">
        <v>2022</v>
      </c>
      <c r="C332" t="s">
        <v>46</v>
      </c>
      <c r="D332" t="s">
        <v>95</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t="s">
        <v>43</v>
      </c>
      <c r="W332">
        <v>173.3</v>
      </c>
      <c r="X332">
        <v>167.7</v>
      </c>
      <c r="Y332">
        <v>177</v>
      </c>
      <c r="Z332">
        <v>166.2</v>
      </c>
      <c r="AA332">
        <v>167.2</v>
      </c>
      <c r="AB332">
        <v>170.9</v>
      </c>
      <c r="AC332">
        <v>169</v>
      </c>
      <c r="AD332">
        <v>170.2</v>
      </c>
      <c r="AE332">
        <v>170.8</v>
      </c>
      <c r="AF332" s="30">
        <f t="shared" si="40"/>
        <v>2399.4</v>
      </c>
      <c r="AG332" s="30">
        <f t="shared" si="41"/>
        <v>529.70000000000005</v>
      </c>
      <c r="AH332" s="30">
        <f t="shared" si="42"/>
        <v>341</v>
      </c>
      <c r="AI332" s="30">
        <f t="shared" si="43"/>
        <v>346</v>
      </c>
      <c r="AJ332" s="30">
        <f t="shared" si="44"/>
        <v>166.2</v>
      </c>
      <c r="AK332" s="30">
        <f t="shared" si="45"/>
        <v>167.2</v>
      </c>
      <c r="AL332" s="30">
        <f t="shared" si="46"/>
        <v>170.9</v>
      </c>
    </row>
    <row r="333" spans="1:38" x14ac:dyDescent="0.3">
      <c r="A333" t="s">
        <v>36</v>
      </c>
      <c r="B333">
        <v>2022</v>
      </c>
      <c r="C333" t="s">
        <v>46</v>
      </c>
      <c r="D333" t="s">
        <v>95</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c r="AF333" s="30">
        <f t="shared" si="40"/>
        <v>2427.5</v>
      </c>
      <c r="AG333" s="30">
        <f t="shared" si="41"/>
        <v>489.2</v>
      </c>
      <c r="AH333" s="30">
        <f t="shared" si="42"/>
        <v>497.3</v>
      </c>
      <c r="AI333" s="30">
        <f t="shared" si="43"/>
        <v>337.4</v>
      </c>
      <c r="AJ333" s="30">
        <f t="shared" si="44"/>
        <v>159.30000000000001</v>
      </c>
      <c r="AK333" s="30">
        <f t="shared" si="45"/>
        <v>162.19999999999999</v>
      </c>
      <c r="AL333" s="30">
        <f t="shared" si="46"/>
        <v>164</v>
      </c>
    </row>
    <row r="334" spans="1:38" x14ac:dyDescent="0.3">
      <c r="A334" t="s">
        <v>37</v>
      </c>
      <c r="B334">
        <v>2022</v>
      </c>
      <c r="C334" t="s">
        <v>46</v>
      </c>
      <c r="D334" t="s">
        <v>95</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c r="AF334" s="30">
        <f t="shared" si="40"/>
        <v>2408.2000000000003</v>
      </c>
      <c r="AG334" s="30">
        <f t="shared" si="41"/>
        <v>513.20000000000005</v>
      </c>
      <c r="AH334" s="30">
        <f t="shared" si="42"/>
        <v>503.2</v>
      </c>
      <c r="AI334" s="30">
        <f t="shared" si="43"/>
        <v>342.8</v>
      </c>
      <c r="AJ334" s="30">
        <f t="shared" si="44"/>
        <v>162.6</v>
      </c>
      <c r="AK334" s="30">
        <f t="shared" si="45"/>
        <v>164.4</v>
      </c>
      <c r="AL334" s="30">
        <f t="shared" si="46"/>
        <v>166.9</v>
      </c>
    </row>
    <row r="335" spans="1:38" x14ac:dyDescent="0.3">
      <c r="A335" t="s">
        <v>33</v>
      </c>
      <c r="B335">
        <v>2022</v>
      </c>
      <c r="C335" t="s">
        <v>34</v>
      </c>
      <c r="D335" t="s">
        <v>73</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t="s">
        <v>43</v>
      </c>
      <c r="W335">
        <v>175.3</v>
      </c>
      <c r="X335">
        <v>168.9</v>
      </c>
      <c r="Y335">
        <v>177.7</v>
      </c>
      <c r="Z335">
        <v>167.1</v>
      </c>
      <c r="AA335">
        <v>167.6</v>
      </c>
      <c r="AB335">
        <v>171.8</v>
      </c>
      <c r="AC335">
        <v>168.5</v>
      </c>
      <c r="AD335">
        <v>170.9</v>
      </c>
      <c r="AE335">
        <v>172.5</v>
      </c>
      <c r="AF335" s="30">
        <f t="shared" si="40"/>
        <v>2419.7000000000003</v>
      </c>
      <c r="AG335" s="30">
        <f t="shared" si="41"/>
        <v>535.5</v>
      </c>
      <c r="AH335" s="30">
        <f t="shared" si="42"/>
        <v>344.20000000000005</v>
      </c>
      <c r="AI335" s="30">
        <f t="shared" si="43"/>
        <v>346.2</v>
      </c>
      <c r="AJ335" s="30">
        <f t="shared" si="44"/>
        <v>167.1</v>
      </c>
      <c r="AK335" s="30">
        <f t="shared" si="45"/>
        <v>167.6</v>
      </c>
      <c r="AL335" s="30">
        <f t="shared" si="46"/>
        <v>171.8</v>
      </c>
    </row>
    <row r="336" spans="1:38" x14ac:dyDescent="0.3">
      <c r="A336" t="s">
        <v>36</v>
      </c>
      <c r="B336">
        <v>2022</v>
      </c>
      <c r="C336" t="s">
        <v>34</v>
      </c>
      <c r="D336" t="s">
        <v>73</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c r="AF336" s="30">
        <f t="shared" si="40"/>
        <v>2459.7000000000003</v>
      </c>
      <c r="AG336" s="30">
        <f t="shared" si="41"/>
        <v>493.7</v>
      </c>
      <c r="AH336" s="30">
        <f t="shared" si="42"/>
        <v>502.1</v>
      </c>
      <c r="AI336" s="30">
        <f t="shared" si="43"/>
        <v>338.29999999999995</v>
      </c>
      <c r="AJ336" s="30">
        <f t="shared" si="44"/>
        <v>159.4</v>
      </c>
      <c r="AK336" s="30">
        <f t="shared" si="45"/>
        <v>163.19999999999999</v>
      </c>
      <c r="AL336" s="30">
        <f t="shared" si="46"/>
        <v>165.2</v>
      </c>
    </row>
    <row r="337" spans="1:38" x14ac:dyDescent="0.3">
      <c r="A337" t="s">
        <v>37</v>
      </c>
      <c r="B337">
        <v>2022</v>
      </c>
      <c r="C337" t="s">
        <v>34</v>
      </c>
      <c r="D337" t="s">
        <v>73</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c r="AF337" s="30">
        <f t="shared" si="40"/>
        <v>2433.0000000000005</v>
      </c>
      <c r="AG337" s="30">
        <f t="shared" si="41"/>
        <v>518.6</v>
      </c>
      <c r="AH337" s="30">
        <f t="shared" si="42"/>
        <v>507.3</v>
      </c>
      <c r="AI337" s="30">
        <f t="shared" si="43"/>
        <v>343.20000000000005</v>
      </c>
      <c r="AJ337" s="30">
        <f t="shared" si="44"/>
        <v>163</v>
      </c>
      <c r="AK337" s="30">
        <f t="shared" si="45"/>
        <v>165.1</v>
      </c>
      <c r="AL337" s="30">
        <f t="shared" si="46"/>
        <v>167.9</v>
      </c>
    </row>
    <row r="338" spans="1:38" x14ac:dyDescent="0.3">
      <c r="A338" t="s">
        <v>33</v>
      </c>
      <c r="B338">
        <v>2022</v>
      </c>
      <c r="C338" t="s">
        <v>47</v>
      </c>
      <c r="D338" t="s">
        <v>72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t="s">
        <v>43</v>
      </c>
      <c r="W338">
        <v>176.7</v>
      </c>
      <c r="X338">
        <v>170.3</v>
      </c>
      <c r="Y338">
        <v>178.2</v>
      </c>
      <c r="Z338">
        <v>165.5</v>
      </c>
      <c r="AA338">
        <v>168</v>
      </c>
      <c r="AB338">
        <v>172.6</v>
      </c>
      <c r="AC338">
        <v>169.5</v>
      </c>
      <c r="AD338">
        <v>171</v>
      </c>
      <c r="AE338">
        <v>173.6</v>
      </c>
      <c r="AF338" s="30">
        <f t="shared" si="40"/>
        <v>2441.2000000000003</v>
      </c>
      <c r="AG338" s="30">
        <f t="shared" si="41"/>
        <v>539.79999999999995</v>
      </c>
      <c r="AH338" s="30">
        <f t="shared" si="42"/>
        <v>347</v>
      </c>
      <c r="AI338" s="30">
        <f t="shared" si="43"/>
        <v>347.7</v>
      </c>
      <c r="AJ338" s="30">
        <f t="shared" si="44"/>
        <v>165.5</v>
      </c>
      <c r="AK338" s="30">
        <f t="shared" si="45"/>
        <v>168</v>
      </c>
      <c r="AL338" s="30">
        <f t="shared" si="46"/>
        <v>172.6</v>
      </c>
    </row>
    <row r="339" spans="1:38" x14ac:dyDescent="0.3">
      <c r="A339" t="s">
        <v>36</v>
      </c>
      <c r="B339">
        <v>2022</v>
      </c>
      <c r="C339" t="s">
        <v>47</v>
      </c>
      <c r="D339" t="s">
        <v>72</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c r="AF339" s="30">
        <f t="shared" si="40"/>
        <v>2485.8000000000002</v>
      </c>
      <c r="AG339" s="30">
        <f t="shared" si="41"/>
        <v>498.4</v>
      </c>
      <c r="AH339" s="30">
        <f t="shared" si="42"/>
        <v>503.80000000000007</v>
      </c>
      <c r="AI339" s="30">
        <f t="shared" si="43"/>
        <v>340.1</v>
      </c>
      <c r="AJ339" s="30">
        <f t="shared" si="44"/>
        <v>157.19999999999999</v>
      </c>
      <c r="AK339" s="30">
        <f t="shared" si="45"/>
        <v>164.1</v>
      </c>
      <c r="AL339" s="30">
        <f t="shared" si="46"/>
        <v>166.5</v>
      </c>
    </row>
    <row r="340" spans="1:38" x14ac:dyDescent="0.3">
      <c r="A340" t="s">
        <v>37</v>
      </c>
      <c r="B340">
        <v>2022</v>
      </c>
      <c r="C340" t="s">
        <v>47</v>
      </c>
      <c r="D340" t="s">
        <v>72</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c r="AF340" s="30">
        <f t="shared" si="40"/>
        <v>2456.2000000000003</v>
      </c>
      <c r="AG340" s="30">
        <f t="shared" si="41"/>
        <v>523</v>
      </c>
      <c r="AH340" s="30">
        <f t="shared" si="42"/>
        <v>509.20000000000005</v>
      </c>
      <c r="AI340" s="30">
        <f t="shared" si="43"/>
        <v>344.8</v>
      </c>
      <c r="AJ340" s="30">
        <f t="shared" si="44"/>
        <v>161.1</v>
      </c>
      <c r="AK340" s="30">
        <f t="shared" si="45"/>
        <v>165.8</v>
      </c>
      <c r="AL340" s="30">
        <f t="shared" si="46"/>
        <v>169</v>
      </c>
    </row>
    <row r="341" spans="1:38" x14ac:dyDescent="0.3">
      <c r="A341" t="s">
        <v>33</v>
      </c>
      <c r="B341">
        <v>2022</v>
      </c>
      <c r="C341" t="s">
        <v>48</v>
      </c>
      <c r="D341" t="s">
        <v>71</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t="s">
        <v>43</v>
      </c>
      <c r="W341">
        <v>179.6</v>
      </c>
      <c r="X341">
        <v>171.3</v>
      </c>
      <c r="Y341">
        <v>178.8</v>
      </c>
      <c r="Z341">
        <v>166.3</v>
      </c>
      <c r="AA341">
        <v>168.6</v>
      </c>
      <c r="AB341">
        <v>174.7</v>
      </c>
      <c r="AC341">
        <v>169.7</v>
      </c>
      <c r="AD341">
        <v>171.8</v>
      </c>
      <c r="AE341">
        <v>174.3</v>
      </c>
      <c r="AF341" s="30">
        <f t="shared" si="40"/>
        <v>2445.6999999999998</v>
      </c>
      <c r="AG341" s="30">
        <f t="shared" si="41"/>
        <v>544</v>
      </c>
      <c r="AH341" s="30">
        <f t="shared" si="42"/>
        <v>350.9</v>
      </c>
      <c r="AI341" s="30">
        <f t="shared" si="43"/>
        <v>348.5</v>
      </c>
      <c r="AJ341" s="30">
        <f t="shared" si="44"/>
        <v>166.3</v>
      </c>
      <c r="AK341" s="30">
        <f t="shared" si="45"/>
        <v>168.6</v>
      </c>
      <c r="AL341" s="30">
        <f t="shared" si="46"/>
        <v>174.7</v>
      </c>
    </row>
    <row r="342" spans="1:38" x14ac:dyDescent="0.3">
      <c r="A342" t="s">
        <v>36</v>
      </c>
      <c r="B342">
        <v>2022</v>
      </c>
      <c r="C342" t="s">
        <v>48</v>
      </c>
      <c r="D342" t="s">
        <v>71</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c r="AF342" s="30">
        <f t="shared" si="40"/>
        <v>2490.1999999999998</v>
      </c>
      <c r="AG342" s="30">
        <f t="shared" si="41"/>
        <v>502</v>
      </c>
      <c r="AH342" s="30">
        <f t="shared" si="42"/>
        <v>510.4</v>
      </c>
      <c r="AI342" s="30">
        <f t="shared" si="43"/>
        <v>341.5</v>
      </c>
      <c r="AJ342" s="30">
        <f t="shared" si="44"/>
        <v>157.4</v>
      </c>
      <c r="AK342" s="30">
        <f t="shared" si="45"/>
        <v>164.6</v>
      </c>
      <c r="AL342" s="30">
        <f t="shared" si="46"/>
        <v>169.1</v>
      </c>
    </row>
    <row r="343" spans="1:38" x14ac:dyDescent="0.3">
      <c r="A343" t="s">
        <v>37</v>
      </c>
      <c r="B343">
        <v>2022</v>
      </c>
      <c r="C343" t="s">
        <v>48</v>
      </c>
      <c r="D343" t="s">
        <v>71</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c r="AF343" s="30">
        <f t="shared" si="40"/>
        <v>2460.9</v>
      </c>
      <c r="AG343" s="30">
        <f t="shared" si="41"/>
        <v>526.90000000000009</v>
      </c>
      <c r="AH343" s="30">
        <f t="shared" si="42"/>
        <v>514.79999999999995</v>
      </c>
      <c r="AI343" s="30">
        <f t="shared" si="43"/>
        <v>345.79999999999995</v>
      </c>
      <c r="AJ343" s="30">
        <f t="shared" si="44"/>
        <v>161.6</v>
      </c>
      <c r="AK343" s="30">
        <f t="shared" si="45"/>
        <v>166.3</v>
      </c>
      <c r="AL343" s="30">
        <f t="shared" si="46"/>
        <v>171.4</v>
      </c>
    </row>
    <row r="344" spans="1:38" x14ac:dyDescent="0.3">
      <c r="A344" t="s">
        <v>33</v>
      </c>
      <c r="B344">
        <v>2022</v>
      </c>
      <c r="C344" t="s">
        <v>49</v>
      </c>
      <c r="D344" t="s">
        <v>69</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t="s">
        <v>43</v>
      </c>
      <c r="W344">
        <v>179.1</v>
      </c>
      <c r="X344">
        <v>172.3</v>
      </c>
      <c r="Y344">
        <v>179.4</v>
      </c>
      <c r="Z344">
        <v>166.6</v>
      </c>
      <c r="AA344">
        <v>169.3</v>
      </c>
      <c r="AB344">
        <v>175.7</v>
      </c>
      <c r="AC344">
        <v>171.1</v>
      </c>
      <c r="AD344">
        <v>172.6</v>
      </c>
      <c r="AE344">
        <v>175.3</v>
      </c>
      <c r="AF344" s="30">
        <f t="shared" si="40"/>
        <v>2449.4999999999995</v>
      </c>
      <c r="AG344" s="30">
        <f t="shared" si="41"/>
        <v>547.9</v>
      </c>
      <c r="AH344" s="30">
        <f t="shared" si="42"/>
        <v>351.4</v>
      </c>
      <c r="AI344" s="30">
        <f t="shared" si="43"/>
        <v>350.5</v>
      </c>
      <c r="AJ344" s="30">
        <f t="shared" si="44"/>
        <v>166.6</v>
      </c>
      <c r="AK344" s="30">
        <f t="shared" si="45"/>
        <v>169.3</v>
      </c>
      <c r="AL344" s="30">
        <f t="shared" si="46"/>
        <v>175.7</v>
      </c>
    </row>
    <row r="345" spans="1:38" x14ac:dyDescent="0.3">
      <c r="A345" t="s">
        <v>36</v>
      </c>
      <c r="B345">
        <v>2022</v>
      </c>
      <c r="C345" t="s">
        <v>49</v>
      </c>
      <c r="D345" t="s">
        <v>69</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c r="AF345" s="30">
        <f t="shared" si="40"/>
        <v>2492.3999999999996</v>
      </c>
      <c r="AG345" s="30">
        <f t="shared" si="41"/>
        <v>505.29999999999995</v>
      </c>
      <c r="AH345" s="30">
        <f t="shared" si="42"/>
        <v>511.59999999999997</v>
      </c>
      <c r="AI345" s="30">
        <f t="shared" si="43"/>
        <v>344</v>
      </c>
      <c r="AJ345" s="30">
        <f t="shared" si="44"/>
        <v>157.69999999999999</v>
      </c>
      <c r="AK345" s="30">
        <f t="shared" si="45"/>
        <v>165.1</v>
      </c>
      <c r="AL345" s="30">
        <f t="shared" si="46"/>
        <v>169.9</v>
      </c>
    </row>
    <row r="346" spans="1:38" x14ac:dyDescent="0.3">
      <c r="A346" t="s">
        <v>37</v>
      </c>
      <c r="B346">
        <v>2022</v>
      </c>
      <c r="C346" t="s">
        <v>49</v>
      </c>
      <c r="D346" t="s">
        <v>69</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c r="AF346" s="30">
        <f t="shared" si="40"/>
        <v>2464.2000000000003</v>
      </c>
      <c r="AG346" s="30">
        <f t="shared" si="41"/>
        <v>530.70000000000005</v>
      </c>
      <c r="AH346" s="30">
        <f t="shared" si="42"/>
        <v>516.29999999999995</v>
      </c>
      <c r="AI346" s="30">
        <f t="shared" si="43"/>
        <v>348</v>
      </c>
      <c r="AJ346" s="30">
        <f t="shared" si="44"/>
        <v>161.9</v>
      </c>
      <c r="AK346" s="30">
        <f t="shared" si="45"/>
        <v>166.9</v>
      </c>
      <c r="AL346" s="30">
        <f t="shared" si="46"/>
        <v>172.3</v>
      </c>
    </row>
    <row r="347" spans="1:38" x14ac:dyDescent="0.3">
      <c r="A347" t="s">
        <v>33</v>
      </c>
      <c r="B347">
        <v>2022</v>
      </c>
      <c r="C347" t="s">
        <v>50</v>
      </c>
      <c r="D347" t="s">
        <v>76</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t="s">
        <v>43</v>
      </c>
      <c r="W347">
        <v>179.7</v>
      </c>
      <c r="X347">
        <v>173.6</v>
      </c>
      <c r="Y347">
        <v>180.2</v>
      </c>
      <c r="Z347">
        <v>166.9</v>
      </c>
      <c r="AA347">
        <v>170</v>
      </c>
      <c r="AB347">
        <v>176.2</v>
      </c>
      <c r="AC347">
        <v>170.8</v>
      </c>
      <c r="AD347">
        <v>173.1</v>
      </c>
      <c r="AE347">
        <v>176.4</v>
      </c>
      <c r="AF347" s="30">
        <f t="shared" si="40"/>
        <v>2462.3000000000002</v>
      </c>
      <c r="AG347" s="30">
        <f t="shared" si="41"/>
        <v>552.5</v>
      </c>
      <c r="AH347" s="30">
        <f t="shared" si="42"/>
        <v>353.29999999999995</v>
      </c>
      <c r="AI347" s="30">
        <f t="shared" si="43"/>
        <v>351</v>
      </c>
      <c r="AJ347" s="30">
        <f t="shared" si="44"/>
        <v>166.9</v>
      </c>
      <c r="AK347" s="30">
        <f t="shared" si="45"/>
        <v>170</v>
      </c>
      <c r="AL347" s="30">
        <f t="shared" si="46"/>
        <v>176.2</v>
      </c>
    </row>
    <row r="348" spans="1:38" x14ac:dyDescent="0.3">
      <c r="A348" t="s">
        <v>36</v>
      </c>
      <c r="B348">
        <v>2022</v>
      </c>
      <c r="C348" t="s">
        <v>50</v>
      </c>
      <c r="D348" t="s">
        <v>76</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c r="AF348" s="30">
        <f t="shared" si="40"/>
        <v>2506.1</v>
      </c>
      <c r="AG348" s="30">
        <f t="shared" si="41"/>
        <v>509.7</v>
      </c>
      <c r="AH348" s="30">
        <f t="shared" si="42"/>
        <v>513.70000000000005</v>
      </c>
      <c r="AI348" s="30">
        <f t="shared" si="43"/>
        <v>344.9</v>
      </c>
      <c r="AJ348" s="30">
        <f t="shared" si="44"/>
        <v>158.19999999999999</v>
      </c>
      <c r="AK348" s="30">
        <f t="shared" si="45"/>
        <v>165.8</v>
      </c>
      <c r="AL348" s="30">
        <f t="shared" si="46"/>
        <v>170.9</v>
      </c>
    </row>
    <row r="349" spans="1:38" x14ac:dyDescent="0.3">
      <c r="A349" t="s">
        <v>37</v>
      </c>
      <c r="B349">
        <v>2022</v>
      </c>
      <c r="C349" t="s">
        <v>50</v>
      </c>
      <c r="D349" t="s">
        <v>76</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s="30">
        <f t="shared" si="40"/>
        <v>2476.8000000000002</v>
      </c>
      <c r="AG349" s="30">
        <f t="shared" si="41"/>
        <v>535.1</v>
      </c>
      <c r="AH349" s="30">
        <f t="shared" si="42"/>
        <v>518.5</v>
      </c>
      <c r="AI349" s="30">
        <f t="shared" si="43"/>
        <v>348.70000000000005</v>
      </c>
      <c r="AJ349" s="30">
        <f t="shared" si="44"/>
        <v>162.30000000000001</v>
      </c>
      <c r="AK349" s="30">
        <f t="shared" si="45"/>
        <v>167.6</v>
      </c>
      <c r="AL349" s="30">
        <f t="shared" si="46"/>
        <v>173.1</v>
      </c>
    </row>
    <row r="350" spans="1:38" x14ac:dyDescent="0.3">
      <c r="A350" t="s">
        <v>33</v>
      </c>
      <c r="B350">
        <v>2022</v>
      </c>
      <c r="C350" t="s">
        <v>51</v>
      </c>
      <c r="D350" t="s">
        <v>75</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t="s">
        <v>43</v>
      </c>
      <c r="W350">
        <v>180.8</v>
      </c>
      <c r="X350">
        <v>174.4</v>
      </c>
      <c r="Y350">
        <v>181.2</v>
      </c>
      <c r="Z350">
        <v>167.4</v>
      </c>
      <c r="AA350">
        <v>170.6</v>
      </c>
      <c r="AB350">
        <v>176.5</v>
      </c>
      <c r="AC350">
        <v>172</v>
      </c>
      <c r="AD350">
        <v>173.9</v>
      </c>
      <c r="AE350">
        <v>177.9</v>
      </c>
      <c r="AF350" s="30">
        <f t="shared" si="40"/>
        <v>2479.4</v>
      </c>
      <c r="AG350" s="30">
        <f t="shared" si="41"/>
        <v>556.4</v>
      </c>
      <c r="AH350" s="30">
        <f t="shared" si="42"/>
        <v>355.20000000000005</v>
      </c>
      <c r="AI350" s="30">
        <f t="shared" si="43"/>
        <v>353.2</v>
      </c>
      <c r="AJ350" s="30">
        <f t="shared" si="44"/>
        <v>167.4</v>
      </c>
      <c r="AK350" s="30">
        <f t="shared" si="45"/>
        <v>170.6</v>
      </c>
      <c r="AL350" s="30">
        <f t="shared" si="46"/>
        <v>176.5</v>
      </c>
    </row>
    <row r="351" spans="1:38" x14ac:dyDescent="0.3">
      <c r="A351" t="s">
        <v>36</v>
      </c>
      <c r="B351">
        <v>2022</v>
      </c>
      <c r="C351" t="s">
        <v>51</v>
      </c>
      <c r="D351" t="s">
        <v>75</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c r="AF351" s="30">
        <f t="shared" si="40"/>
        <v>2522.4</v>
      </c>
      <c r="AG351" s="30">
        <f t="shared" si="41"/>
        <v>511.70000000000005</v>
      </c>
      <c r="AH351" s="30">
        <f t="shared" si="42"/>
        <v>517.20000000000005</v>
      </c>
      <c r="AI351" s="30">
        <f t="shared" si="43"/>
        <v>347</v>
      </c>
      <c r="AJ351" s="30">
        <f t="shared" si="44"/>
        <v>158.80000000000001</v>
      </c>
      <c r="AK351" s="30">
        <f t="shared" si="45"/>
        <v>166.3</v>
      </c>
      <c r="AL351" s="30">
        <f t="shared" si="46"/>
        <v>171.2</v>
      </c>
    </row>
    <row r="352" spans="1:38" x14ac:dyDescent="0.3">
      <c r="A352" t="s">
        <v>37</v>
      </c>
      <c r="B352">
        <v>2022</v>
      </c>
      <c r="C352" t="s">
        <v>51</v>
      </c>
      <c r="D352" t="s">
        <v>75</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c r="AF352" s="30">
        <f t="shared" si="40"/>
        <v>2493.6000000000004</v>
      </c>
      <c r="AG352" s="30">
        <f t="shared" si="41"/>
        <v>538.20000000000005</v>
      </c>
      <c r="AH352" s="30">
        <f t="shared" si="42"/>
        <v>522.1</v>
      </c>
      <c r="AI352" s="30">
        <f t="shared" si="43"/>
        <v>350.79999999999995</v>
      </c>
      <c r="AJ352" s="30">
        <f t="shared" si="44"/>
        <v>162.9</v>
      </c>
      <c r="AK352" s="30">
        <f t="shared" si="45"/>
        <v>168.2</v>
      </c>
      <c r="AL352" s="30">
        <f t="shared" si="46"/>
        <v>173.4</v>
      </c>
    </row>
    <row r="353" spans="1:38" x14ac:dyDescent="0.3">
      <c r="A353" t="s">
        <v>33</v>
      </c>
      <c r="B353">
        <v>2022</v>
      </c>
      <c r="C353" t="s">
        <v>53</v>
      </c>
      <c r="D353" t="s">
        <v>74</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t="s">
        <v>43</v>
      </c>
      <c r="W353">
        <v>181.9</v>
      </c>
      <c r="X353">
        <v>175.5</v>
      </c>
      <c r="Y353">
        <v>182.3</v>
      </c>
      <c r="Z353">
        <v>167.5</v>
      </c>
      <c r="AA353">
        <v>170.8</v>
      </c>
      <c r="AB353">
        <v>176.9</v>
      </c>
      <c r="AC353">
        <v>173.4</v>
      </c>
      <c r="AD353">
        <v>174.6</v>
      </c>
      <c r="AE353">
        <v>177.8</v>
      </c>
      <c r="AF353" s="30">
        <f t="shared" si="40"/>
        <v>2483.1999999999998</v>
      </c>
      <c r="AG353" s="30">
        <f t="shared" si="41"/>
        <v>559.29999999999995</v>
      </c>
      <c r="AH353" s="30">
        <f t="shared" si="42"/>
        <v>357.4</v>
      </c>
      <c r="AI353" s="30">
        <f t="shared" si="43"/>
        <v>355.70000000000005</v>
      </c>
      <c r="AJ353" s="30">
        <f t="shared" si="44"/>
        <v>167.5</v>
      </c>
      <c r="AK353" s="30">
        <f t="shared" si="45"/>
        <v>170.8</v>
      </c>
      <c r="AL353" s="30">
        <f t="shared" si="46"/>
        <v>176.9</v>
      </c>
    </row>
    <row r="354" spans="1:38" x14ac:dyDescent="0.3">
      <c r="A354" t="s">
        <v>36</v>
      </c>
      <c r="B354">
        <v>2022</v>
      </c>
      <c r="C354" t="s">
        <v>53</v>
      </c>
      <c r="D354" t="s">
        <v>74</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c r="AF354" s="30">
        <f t="shared" si="40"/>
        <v>2515</v>
      </c>
      <c r="AG354" s="30">
        <f t="shared" si="41"/>
        <v>514.9</v>
      </c>
      <c r="AH354" s="30">
        <f t="shared" si="42"/>
        <v>519</v>
      </c>
      <c r="AI354" s="30">
        <f t="shared" si="43"/>
        <v>349.6</v>
      </c>
      <c r="AJ354" s="30">
        <f t="shared" si="44"/>
        <v>158.9</v>
      </c>
      <c r="AK354" s="30">
        <f t="shared" si="45"/>
        <v>166.7</v>
      </c>
      <c r="AL354" s="30">
        <f t="shared" si="46"/>
        <v>171.5</v>
      </c>
    </row>
    <row r="355" spans="1:38" x14ac:dyDescent="0.3">
      <c r="A355" t="s">
        <v>37</v>
      </c>
      <c r="B355">
        <v>2022</v>
      </c>
      <c r="C355" t="s">
        <v>53</v>
      </c>
      <c r="D355" t="s">
        <v>74</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c r="AF355" s="30">
        <f t="shared" si="40"/>
        <v>2493.7000000000003</v>
      </c>
      <c r="AG355" s="30">
        <f t="shared" si="41"/>
        <v>541.4</v>
      </c>
      <c r="AH355" s="30">
        <f t="shared" si="42"/>
        <v>524.5</v>
      </c>
      <c r="AI355" s="30">
        <f t="shared" si="43"/>
        <v>353.4</v>
      </c>
      <c r="AJ355" s="30">
        <f t="shared" si="44"/>
        <v>163</v>
      </c>
      <c r="AK355" s="30">
        <f t="shared" si="45"/>
        <v>168.5</v>
      </c>
      <c r="AL355" s="30">
        <f t="shared" si="46"/>
        <v>173.7</v>
      </c>
    </row>
    <row r="356" spans="1:38" x14ac:dyDescent="0.3">
      <c r="A356" t="s">
        <v>33</v>
      </c>
      <c r="B356">
        <v>2022</v>
      </c>
      <c r="C356" t="s">
        <v>54</v>
      </c>
      <c r="D356" t="s">
        <v>70</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t="s">
        <v>43</v>
      </c>
      <c r="W356">
        <v>182.8</v>
      </c>
      <c r="X356">
        <v>176.4</v>
      </c>
      <c r="Y356">
        <v>183.5</v>
      </c>
      <c r="Z356">
        <v>167.8</v>
      </c>
      <c r="AA356">
        <v>171.2</v>
      </c>
      <c r="AB356">
        <v>177.3</v>
      </c>
      <c r="AC356">
        <v>175.7</v>
      </c>
      <c r="AD356">
        <v>175.5</v>
      </c>
      <c r="AE356">
        <v>177.1</v>
      </c>
      <c r="AF356" s="30">
        <f t="shared" si="40"/>
        <v>2473</v>
      </c>
      <c r="AG356" s="30">
        <f t="shared" si="41"/>
        <v>561.79999999999995</v>
      </c>
      <c r="AH356" s="30">
        <f t="shared" si="42"/>
        <v>359.20000000000005</v>
      </c>
      <c r="AI356" s="30">
        <f t="shared" si="43"/>
        <v>359.2</v>
      </c>
      <c r="AJ356" s="30">
        <f t="shared" si="44"/>
        <v>167.8</v>
      </c>
      <c r="AK356" s="30">
        <f t="shared" si="45"/>
        <v>171.2</v>
      </c>
      <c r="AL356" s="30">
        <f t="shared" si="46"/>
        <v>177.3</v>
      </c>
    </row>
    <row r="357" spans="1:38" x14ac:dyDescent="0.3">
      <c r="A357" t="s">
        <v>36</v>
      </c>
      <c r="B357">
        <v>2022</v>
      </c>
      <c r="C357" t="s">
        <v>54</v>
      </c>
      <c r="D357" t="s">
        <v>70</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c r="AF357" s="30">
        <f t="shared" si="40"/>
        <v>2496.8999999999996</v>
      </c>
      <c r="AG357" s="30">
        <f t="shared" si="41"/>
        <v>517.9</v>
      </c>
      <c r="AH357" s="30">
        <f t="shared" si="42"/>
        <v>518.59999999999991</v>
      </c>
      <c r="AI357" s="30">
        <f t="shared" si="43"/>
        <v>353.2</v>
      </c>
      <c r="AJ357" s="30">
        <f t="shared" si="44"/>
        <v>159.4</v>
      </c>
      <c r="AK357" s="30">
        <f t="shared" si="45"/>
        <v>167.1</v>
      </c>
      <c r="AL357" s="30">
        <f t="shared" si="46"/>
        <v>171.8</v>
      </c>
    </row>
    <row r="358" spans="1:38" x14ac:dyDescent="0.3">
      <c r="A358" t="s">
        <v>37</v>
      </c>
      <c r="B358">
        <v>2022</v>
      </c>
      <c r="C358" t="s">
        <v>54</v>
      </c>
      <c r="D358" t="s">
        <v>70</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c r="AF358" s="30">
        <f t="shared" si="40"/>
        <v>2480.7000000000003</v>
      </c>
      <c r="AG358" s="30">
        <f t="shared" si="41"/>
        <v>544</v>
      </c>
      <c r="AH358" s="30">
        <f t="shared" si="42"/>
        <v>524.79999999999995</v>
      </c>
      <c r="AI358" s="30">
        <f t="shared" si="43"/>
        <v>356.9</v>
      </c>
      <c r="AJ358" s="30">
        <f t="shared" si="44"/>
        <v>163.4</v>
      </c>
      <c r="AK358" s="30">
        <f t="shared" si="45"/>
        <v>168.9</v>
      </c>
      <c r="AL358" s="30">
        <f t="shared" si="46"/>
        <v>174.1</v>
      </c>
    </row>
    <row r="359" spans="1:38" x14ac:dyDescent="0.3">
      <c r="A359" t="s">
        <v>33</v>
      </c>
      <c r="B359">
        <v>2023</v>
      </c>
      <c r="C359" t="s">
        <v>42</v>
      </c>
      <c r="D359" t="s">
        <v>79</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t="s">
        <v>43</v>
      </c>
      <c r="W359">
        <v>183.2</v>
      </c>
      <c r="X359">
        <v>177.2</v>
      </c>
      <c r="Y359">
        <v>184.7</v>
      </c>
      <c r="Z359">
        <v>168.2</v>
      </c>
      <c r="AA359">
        <v>171.8</v>
      </c>
      <c r="AB359">
        <v>177.8</v>
      </c>
      <c r="AC359">
        <v>178.4</v>
      </c>
      <c r="AD359">
        <v>176.5</v>
      </c>
      <c r="AE359">
        <v>177.8</v>
      </c>
      <c r="AF359" s="30">
        <f t="shared" si="40"/>
        <v>2480.1000000000004</v>
      </c>
      <c r="AG359" s="30">
        <f t="shared" si="41"/>
        <v>563.9</v>
      </c>
      <c r="AH359" s="30">
        <f t="shared" si="42"/>
        <v>360.4</v>
      </c>
      <c r="AI359" s="30">
        <f t="shared" si="43"/>
        <v>363.1</v>
      </c>
      <c r="AJ359" s="30">
        <f t="shared" si="44"/>
        <v>168.2</v>
      </c>
      <c r="AK359" s="30">
        <f t="shared" si="45"/>
        <v>171.8</v>
      </c>
      <c r="AL359" s="30">
        <f t="shared" si="46"/>
        <v>177.8</v>
      </c>
    </row>
    <row r="360" spans="1:38" x14ac:dyDescent="0.3">
      <c r="A360" t="s">
        <v>36</v>
      </c>
      <c r="B360">
        <v>2023</v>
      </c>
      <c r="C360" t="s">
        <v>42</v>
      </c>
      <c r="D360" t="s">
        <v>79</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c r="AF360" s="30">
        <f t="shared" si="40"/>
        <v>2511.8000000000002</v>
      </c>
      <c r="AG360" s="30">
        <f t="shared" si="41"/>
        <v>520.6</v>
      </c>
      <c r="AH360" s="30">
        <f t="shared" si="42"/>
        <v>520.20000000000005</v>
      </c>
      <c r="AI360" s="30">
        <f t="shared" si="43"/>
        <v>357.3</v>
      </c>
      <c r="AJ360" s="30">
        <f t="shared" si="44"/>
        <v>159.5</v>
      </c>
      <c r="AK360" s="30">
        <f t="shared" si="45"/>
        <v>167.8</v>
      </c>
      <c r="AL360" s="30">
        <f t="shared" si="46"/>
        <v>171.8</v>
      </c>
    </row>
    <row r="361" spans="1:38" x14ac:dyDescent="0.3">
      <c r="A361" t="s">
        <v>37</v>
      </c>
      <c r="B361">
        <v>2023</v>
      </c>
      <c r="C361" t="s">
        <v>42</v>
      </c>
      <c r="D361" t="s">
        <v>79</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c r="AF361" s="30">
        <f t="shared" si="40"/>
        <v>2490.8999999999996</v>
      </c>
      <c r="AG361" s="30">
        <f t="shared" si="41"/>
        <v>546.29999999999995</v>
      </c>
      <c r="AH361" s="30">
        <f t="shared" si="42"/>
        <v>527</v>
      </c>
      <c r="AI361" s="30">
        <f t="shared" si="43"/>
        <v>360.9</v>
      </c>
      <c r="AJ361" s="30">
        <f t="shared" si="44"/>
        <v>163.6</v>
      </c>
      <c r="AK361" s="30">
        <f t="shared" si="45"/>
        <v>169.5</v>
      </c>
      <c r="AL361" s="30">
        <f t="shared" si="46"/>
        <v>174.3</v>
      </c>
    </row>
    <row r="362" spans="1:38" x14ac:dyDescent="0.3">
      <c r="A362" t="s">
        <v>33</v>
      </c>
      <c r="B362">
        <v>2023</v>
      </c>
      <c r="C362" t="s">
        <v>44</v>
      </c>
      <c r="D362" t="s">
        <v>78</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t="s">
        <v>43</v>
      </c>
      <c r="W362">
        <v>181.6</v>
      </c>
      <c r="X362">
        <v>178.6</v>
      </c>
      <c r="Y362">
        <v>186.6</v>
      </c>
      <c r="Z362">
        <v>169</v>
      </c>
      <c r="AA362">
        <v>172.8</v>
      </c>
      <c r="AB362">
        <v>178.5</v>
      </c>
      <c r="AC362">
        <v>180.7</v>
      </c>
      <c r="AD362">
        <v>177.9</v>
      </c>
      <c r="AE362">
        <v>178</v>
      </c>
      <c r="AF362" s="30">
        <f t="shared" si="40"/>
        <v>2464</v>
      </c>
      <c r="AG362" s="30">
        <f t="shared" si="41"/>
        <v>566.6</v>
      </c>
      <c r="AH362" s="30">
        <f t="shared" si="42"/>
        <v>360.2</v>
      </c>
      <c r="AI362" s="30">
        <f t="shared" si="43"/>
        <v>367.29999999999995</v>
      </c>
      <c r="AJ362" s="30">
        <f t="shared" si="44"/>
        <v>169</v>
      </c>
      <c r="AK362" s="30">
        <f t="shared" si="45"/>
        <v>172.8</v>
      </c>
      <c r="AL362" s="30">
        <f t="shared" si="46"/>
        <v>178.5</v>
      </c>
    </row>
    <row r="363" spans="1:38" x14ac:dyDescent="0.3">
      <c r="A363" t="s">
        <v>36</v>
      </c>
      <c r="B363">
        <v>2023</v>
      </c>
      <c r="C363" t="s">
        <v>44</v>
      </c>
      <c r="D363" t="s">
        <v>78</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c r="AF363" s="30">
        <f t="shared" si="40"/>
        <v>2505.8999999999996</v>
      </c>
      <c r="AG363" s="30">
        <f t="shared" si="41"/>
        <v>525.5</v>
      </c>
      <c r="AH363" s="30">
        <f t="shared" si="42"/>
        <v>525.5</v>
      </c>
      <c r="AI363" s="30">
        <f t="shared" si="43"/>
        <v>362.20000000000005</v>
      </c>
      <c r="AJ363" s="30">
        <f t="shared" si="44"/>
        <v>159.80000000000001</v>
      </c>
      <c r="AK363" s="30">
        <f t="shared" si="45"/>
        <v>168.4</v>
      </c>
      <c r="AL363" s="30">
        <f t="shared" si="46"/>
        <v>172.5</v>
      </c>
    </row>
    <row r="364" spans="1:38" x14ac:dyDescent="0.3">
      <c r="A364" t="s">
        <v>37</v>
      </c>
      <c r="B364">
        <v>2023</v>
      </c>
      <c r="C364" t="s">
        <v>44</v>
      </c>
      <c r="D364" t="s">
        <v>78</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c r="AF364" s="30">
        <f t="shared" si="40"/>
        <v>2478.6</v>
      </c>
      <c r="AG364" s="30">
        <f t="shared" si="41"/>
        <v>550</v>
      </c>
      <c r="AH364" s="30">
        <f t="shared" si="42"/>
        <v>529.79999999999995</v>
      </c>
      <c r="AI364" s="30">
        <f t="shared" si="43"/>
        <v>365.4</v>
      </c>
      <c r="AJ364" s="30">
        <f t="shared" si="44"/>
        <v>164.2</v>
      </c>
      <c r="AK364" s="30">
        <f t="shared" si="45"/>
        <v>170.3</v>
      </c>
      <c r="AL364" s="30">
        <f t="shared" si="46"/>
        <v>175</v>
      </c>
    </row>
    <row r="365" spans="1:38" x14ac:dyDescent="0.3">
      <c r="A365" t="s">
        <v>33</v>
      </c>
      <c r="B365">
        <v>2023</v>
      </c>
      <c r="C365" t="s">
        <v>45</v>
      </c>
      <c r="D365" t="s">
        <v>80</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t="s">
        <v>43</v>
      </c>
      <c r="W365">
        <v>181.4</v>
      </c>
      <c r="X365">
        <v>178.6</v>
      </c>
      <c r="Y365">
        <v>186.6</v>
      </c>
      <c r="Z365">
        <v>169</v>
      </c>
      <c r="AA365">
        <v>172.8</v>
      </c>
      <c r="AB365">
        <v>178.5</v>
      </c>
      <c r="AC365">
        <v>180.7</v>
      </c>
      <c r="AD365">
        <v>177.9</v>
      </c>
      <c r="AE365">
        <v>178</v>
      </c>
      <c r="AF365" s="30">
        <f t="shared" si="40"/>
        <v>2464.2000000000003</v>
      </c>
      <c r="AG365" s="30">
        <f t="shared" si="41"/>
        <v>566.6</v>
      </c>
      <c r="AH365" s="30">
        <f t="shared" si="42"/>
        <v>360</v>
      </c>
      <c r="AI365" s="30">
        <f t="shared" si="43"/>
        <v>367.29999999999995</v>
      </c>
      <c r="AJ365" s="30">
        <f t="shared" si="44"/>
        <v>169</v>
      </c>
      <c r="AK365" s="30">
        <f t="shared" si="45"/>
        <v>172.8</v>
      </c>
      <c r="AL365" s="30">
        <f t="shared" si="46"/>
        <v>178.5</v>
      </c>
    </row>
    <row r="366" spans="1:38" x14ac:dyDescent="0.3">
      <c r="A366" t="s">
        <v>36</v>
      </c>
      <c r="B366">
        <v>2023</v>
      </c>
      <c r="C366" t="s">
        <v>45</v>
      </c>
      <c r="D366" t="s">
        <v>80</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c r="AF366" s="30">
        <f t="shared" si="40"/>
        <v>2506.1</v>
      </c>
      <c r="AG366" s="30">
        <f t="shared" si="41"/>
        <v>525.4</v>
      </c>
      <c r="AH366" s="30">
        <f t="shared" si="42"/>
        <v>525.29999999999995</v>
      </c>
      <c r="AI366" s="30">
        <f t="shared" si="43"/>
        <v>362.3</v>
      </c>
      <c r="AJ366" s="30">
        <f t="shared" si="44"/>
        <v>159.80000000000001</v>
      </c>
      <c r="AK366" s="30">
        <f t="shared" si="45"/>
        <v>168.4</v>
      </c>
      <c r="AL366" s="30">
        <f t="shared" si="46"/>
        <v>172.5</v>
      </c>
    </row>
    <row r="367" spans="1:38" x14ac:dyDescent="0.3">
      <c r="A367" t="s">
        <v>37</v>
      </c>
      <c r="B367">
        <v>2023</v>
      </c>
      <c r="C367" t="s">
        <v>45</v>
      </c>
      <c r="D367" t="s">
        <v>80</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c r="AF367" s="30">
        <f t="shared" si="40"/>
        <v>2478.6999999999998</v>
      </c>
      <c r="AG367" s="30">
        <f t="shared" si="41"/>
        <v>549.9</v>
      </c>
      <c r="AH367" s="30">
        <f t="shared" si="42"/>
        <v>529.59999999999991</v>
      </c>
      <c r="AI367" s="30">
        <f t="shared" si="43"/>
        <v>365.4</v>
      </c>
      <c r="AJ367" s="30">
        <f t="shared" si="44"/>
        <v>164.2</v>
      </c>
      <c r="AK367" s="30">
        <f t="shared" si="45"/>
        <v>170.3</v>
      </c>
      <c r="AL367" s="30">
        <f t="shared" si="46"/>
        <v>175</v>
      </c>
    </row>
    <row r="368" spans="1:38" x14ac:dyDescent="0.3">
      <c r="A368" t="s">
        <v>33</v>
      </c>
      <c r="B368">
        <v>2023</v>
      </c>
      <c r="C368" t="s">
        <v>46</v>
      </c>
      <c r="D368" t="s">
        <v>77</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t="s">
        <v>35</v>
      </c>
      <c r="W368">
        <v>181.5</v>
      </c>
      <c r="X368">
        <v>179.1</v>
      </c>
      <c r="Y368">
        <v>187.2</v>
      </c>
      <c r="Z368">
        <v>169.4</v>
      </c>
      <c r="AA368">
        <v>173.2</v>
      </c>
      <c r="AB368">
        <v>179.4</v>
      </c>
      <c r="AC368">
        <v>183.8</v>
      </c>
      <c r="AD368">
        <v>178.9</v>
      </c>
      <c r="AE368">
        <v>178.8</v>
      </c>
      <c r="AF368" s="30">
        <f t="shared" si="40"/>
        <v>2473.6999999999998</v>
      </c>
      <c r="AG368" s="30">
        <f t="shared" si="41"/>
        <v>568.20000000000005</v>
      </c>
      <c r="AH368" s="30">
        <f t="shared" si="42"/>
        <v>360.6</v>
      </c>
      <c r="AI368" s="30">
        <f t="shared" si="43"/>
        <v>371</v>
      </c>
      <c r="AJ368" s="30">
        <f t="shared" si="44"/>
        <v>169.4</v>
      </c>
      <c r="AK368" s="30">
        <f t="shared" si="45"/>
        <v>173.2</v>
      </c>
      <c r="AL368" s="30">
        <f t="shared" si="46"/>
        <v>179.4</v>
      </c>
    </row>
    <row r="369" spans="1:38" x14ac:dyDescent="0.3">
      <c r="A369" t="s">
        <v>36</v>
      </c>
      <c r="B369">
        <v>2023</v>
      </c>
      <c r="C369" t="s">
        <v>46</v>
      </c>
      <c r="D369" t="s">
        <v>77</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c r="AF369" s="30">
        <f t="shared" si="40"/>
        <v>2521.2000000000003</v>
      </c>
      <c r="AG369" s="30">
        <f t="shared" si="41"/>
        <v>527.6</v>
      </c>
      <c r="AH369" s="30">
        <f t="shared" si="42"/>
        <v>526.9</v>
      </c>
      <c r="AI369" s="30">
        <f t="shared" si="43"/>
        <v>365.9</v>
      </c>
      <c r="AJ369" s="30">
        <f t="shared" si="44"/>
        <v>160.1</v>
      </c>
      <c r="AK369" s="30">
        <f t="shared" si="45"/>
        <v>168.8</v>
      </c>
      <c r="AL369" s="30">
        <f t="shared" si="46"/>
        <v>174.2</v>
      </c>
    </row>
    <row r="370" spans="1:38" x14ac:dyDescent="0.3">
      <c r="A370" t="s">
        <v>37</v>
      </c>
      <c r="B370">
        <v>2023</v>
      </c>
      <c r="C370" t="s">
        <v>46</v>
      </c>
      <c r="D370" t="s">
        <v>77</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c r="AF370" s="30">
        <f t="shared" si="40"/>
        <v>2490.2000000000003</v>
      </c>
      <c r="AG370" s="30">
        <f t="shared" si="41"/>
        <v>551.79999999999995</v>
      </c>
      <c r="AH370" s="30">
        <f t="shared" si="42"/>
        <v>531.5</v>
      </c>
      <c r="AI370" s="30">
        <f t="shared" si="43"/>
        <v>369</v>
      </c>
      <c r="AJ370" s="30">
        <f t="shared" si="44"/>
        <v>164.5</v>
      </c>
      <c r="AK370" s="30">
        <f t="shared" si="45"/>
        <v>170.7</v>
      </c>
      <c r="AL370" s="30">
        <f t="shared" si="46"/>
        <v>176.4</v>
      </c>
    </row>
    <row r="371" spans="1:38" x14ac:dyDescent="0.3">
      <c r="A371" t="s">
        <v>33</v>
      </c>
      <c r="B371">
        <v>2023</v>
      </c>
      <c r="C371" t="s">
        <v>34</v>
      </c>
      <c r="D371" t="s">
        <v>81</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t="s">
        <v>35</v>
      </c>
      <c r="W371">
        <v>182.5</v>
      </c>
      <c r="X371">
        <v>179.8</v>
      </c>
      <c r="Y371">
        <v>187.8</v>
      </c>
      <c r="Z371">
        <v>169.7</v>
      </c>
      <c r="AA371">
        <v>173.8</v>
      </c>
      <c r="AB371">
        <v>180.3</v>
      </c>
      <c r="AC371">
        <v>184.9</v>
      </c>
      <c r="AD371">
        <v>179.5</v>
      </c>
      <c r="AE371">
        <v>179.8</v>
      </c>
      <c r="AF371" s="30">
        <f t="shared" si="40"/>
        <v>2490.6000000000008</v>
      </c>
      <c r="AG371" s="30">
        <f t="shared" si="41"/>
        <v>569.90000000000009</v>
      </c>
      <c r="AH371" s="30">
        <f t="shared" si="42"/>
        <v>362.3</v>
      </c>
      <c r="AI371" s="30">
        <f t="shared" si="43"/>
        <v>372.70000000000005</v>
      </c>
      <c r="AJ371" s="30">
        <f t="shared" si="44"/>
        <v>169.7</v>
      </c>
      <c r="AK371" s="30">
        <f t="shared" si="45"/>
        <v>173.8</v>
      </c>
      <c r="AL371" s="30">
        <f t="shared" si="46"/>
        <v>180.3</v>
      </c>
    </row>
    <row r="372" spans="1:38" x14ac:dyDescent="0.3">
      <c r="A372" t="s">
        <v>36</v>
      </c>
      <c r="B372">
        <v>2023</v>
      </c>
      <c r="C372" t="s">
        <v>34</v>
      </c>
      <c r="D372" t="s">
        <v>81</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c r="AF372" s="30">
        <f t="shared" si="40"/>
        <v>2539.2999999999997</v>
      </c>
      <c r="AG372" s="30">
        <f t="shared" si="41"/>
        <v>528.70000000000005</v>
      </c>
      <c r="AH372" s="30">
        <f t="shared" si="42"/>
        <v>529.1</v>
      </c>
      <c r="AI372" s="30">
        <f t="shared" si="43"/>
        <v>367.79999999999995</v>
      </c>
      <c r="AJ372" s="30">
        <f t="shared" si="44"/>
        <v>160.4</v>
      </c>
      <c r="AK372" s="30">
        <f t="shared" si="45"/>
        <v>169.2</v>
      </c>
      <c r="AL372" s="30">
        <f t="shared" si="46"/>
        <v>174.8</v>
      </c>
    </row>
    <row r="373" spans="1:38" x14ac:dyDescent="0.3">
      <c r="A373" t="s">
        <v>37</v>
      </c>
      <c r="B373">
        <v>2023</v>
      </c>
      <c r="C373" t="s">
        <v>34</v>
      </c>
      <c r="D373" t="s">
        <v>81</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c r="AF373" s="30">
        <f t="shared" si="40"/>
        <v>2507.9</v>
      </c>
      <c r="AG373" s="30">
        <f t="shared" si="41"/>
        <v>553.20000000000005</v>
      </c>
      <c r="AH373" s="30">
        <f t="shared" si="42"/>
        <v>533.59999999999991</v>
      </c>
      <c r="AI373" s="30">
        <f t="shared" si="43"/>
        <v>370.9</v>
      </c>
      <c r="AJ373" s="30">
        <f t="shared" si="44"/>
        <v>164.8</v>
      </c>
      <c r="AK373" s="30">
        <f t="shared" si="45"/>
        <v>171.2</v>
      </c>
      <c r="AL373" s="30">
        <f t="shared" si="46"/>
        <v>177.1</v>
      </c>
    </row>
    <row r="375" spans="1:38" x14ac:dyDescent="0.3">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7" spans="1:38" x14ac:dyDescent="0.3">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sheetData>
  <autoFilter ref="A1:AE373" xr:uid="{0123C7C5-5FC2-4E0A-AA99-D2A4410BA02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B58-B4CC-41BD-82C8-98DD28227565}">
  <dimension ref="A1:DW83"/>
  <sheetViews>
    <sheetView topLeftCell="DF1" workbookViewId="0">
      <selection activeCell="DW1" sqref="DW1:DW1048576"/>
    </sheetView>
  </sheetViews>
  <sheetFormatPr defaultRowHeight="14.4" x14ac:dyDescent="0.3"/>
  <cols>
    <col min="2" max="2" width="11.77734375" customWidth="1"/>
    <col min="3" max="3" width="30.44140625" bestFit="1" customWidth="1"/>
    <col min="4" max="4" width="7.21875" customWidth="1"/>
    <col min="5" max="98" width="8.88671875" customWidth="1"/>
  </cols>
  <sheetData>
    <row r="1" spans="1:127" x14ac:dyDescent="0.3">
      <c r="D1">
        <v>2013</v>
      </c>
      <c r="E1">
        <v>2013</v>
      </c>
      <c r="F1">
        <v>2013</v>
      </c>
      <c r="G1">
        <v>2013</v>
      </c>
      <c r="H1">
        <v>2013</v>
      </c>
      <c r="I1">
        <v>2013</v>
      </c>
      <c r="J1">
        <v>2013</v>
      </c>
      <c r="K1">
        <v>2013</v>
      </c>
      <c r="L1">
        <v>2013</v>
      </c>
      <c r="M1">
        <v>2013</v>
      </c>
      <c r="N1">
        <v>2013</v>
      </c>
      <c r="O1">
        <v>2013</v>
      </c>
      <c r="P1">
        <v>2014</v>
      </c>
      <c r="Q1">
        <v>2014</v>
      </c>
      <c r="R1">
        <v>2014</v>
      </c>
      <c r="S1">
        <v>2014</v>
      </c>
      <c r="T1">
        <v>2014</v>
      </c>
      <c r="U1">
        <v>2014</v>
      </c>
      <c r="V1">
        <v>2014</v>
      </c>
      <c r="W1">
        <v>2014</v>
      </c>
      <c r="X1">
        <v>2014</v>
      </c>
      <c r="Y1">
        <v>2014</v>
      </c>
      <c r="Z1">
        <v>2014</v>
      </c>
      <c r="AA1">
        <v>2014</v>
      </c>
      <c r="AB1">
        <v>2015</v>
      </c>
      <c r="AC1">
        <v>2015</v>
      </c>
      <c r="AD1">
        <v>2015</v>
      </c>
      <c r="AE1">
        <v>2015</v>
      </c>
      <c r="AF1">
        <v>2015</v>
      </c>
      <c r="AG1">
        <v>2015</v>
      </c>
      <c r="AH1">
        <v>2015</v>
      </c>
      <c r="AI1">
        <v>2015</v>
      </c>
      <c r="AJ1">
        <v>2015</v>
      </c>
      <c r="AK1">
        <v>2015</v>
      </c>
      <c r="AL1">
        <v>2015</v>
      </c>
      <c r="AM1">
        <v>2015</v>
      </c>
      <c r="AN1">
        <v>2016</v>
      </c>
      <c r="AO1">
        <v>2016</v>
      </c>
      <c r="AP1">
        <v>2016</v>
      </c>
      <c r="AQ1">
        <v>2016</v>
      </c>
      <c r="AR1">
        <v>2016</v>
      </c>
      <c r="AS1">
        <v>2016</v>
      </c>
      <c r="AT1">
        <v>2016</v>
      </c>
      <c r="AU1">
        <v>2016</v>
      </c>
      <c r="AV1">
        <v>2016</v>
      </c>
      <c r="AW1">
        <v>2016</v>
      </c>
      <c r="AX1">
        <v>2016</v>
      </c>
      <c r="AY1">
        <v>2016</v>
      </c>
      <c r="AZ1">
        <v>2017</v>
      </c>
      <c r="BA1">
        <v>2017</v>
      </c>
      <c r="BB1">
        <v>2017</v>
      </c>
      <c r="BC1">
        <v>2017</v>
      </c>
      <c r="BD1">
        <v>2017</v>
      </c>
      <c r="BE1">
        <v>2017</v>
      </c>
      <c r="BF1">
        <v>2017</v>
      </c>
      <c r="BG1">
        <v>2017</v>
      </c>
      <c r="BH1">
        <v>2017</v>
      </c>
      <c r="BI1">
        <v>2017</v>
      </c>
      <c r="BJ1">
        <v>2017</v>
      </c>
      <c r="BK1">
        <v>2017</v>
      </c>
      <c r="BL1">
        <v>2018</v>
      </c>
      <c r="BM1">
        <v>2018</v>
      </c>
      <c r="BN1">
        <v>2018</v>
      </c>
      <c r="BO1">
        <v>2018</v>
      </c>
      <c r="BP1">
        <v>2018</v>
      </c>
      <c r="BQ1">
        <v>2018</v>
      </c>
      <c r="BR1">
        <v>2018</v>
      </c>
      <c r="BS1">
        <v>2018</v>
      </c>
      <c r="BT1">
        <v>2018</v>
      </c>
      <c r="BU1">
        <v>2018</v>
      </c>
      <c r="BV1">
        <v>2018</v>
      </c>
      <c r="BW1">
        <v>2018</v>
      </c>
      <c r="BX1">
        <v>2019</v>
      </c>
      <c r="BY1">
        <v>2019</v>
      </c>
      <c r="BZ1">
        <v>2019</v>
      </c>
      <c r="CA1">
        <v>2019</v>
      </c>
      <c r="CB1">
        <v>2019</v>
      </c>
      <c r="CC1">
        <v>2019</v>
      </c>
      <c r="CD1">
        <v>2019</v>
      </c>
      <c r="CE1">
        <v>2019</v>
      </c>
      <c r="CF1">
        <v>2019</v>
      </c>
      <c r="CG1">
        <v>2019</v>
      </c>
      <c r="CH1">
        <v>2019</v>
      </c>
      <c r="CI1">
        <v>2020</v>
      </c>
      <c r="CJ1">
        <v>2020</v>
      </c>
      <c r="CK1">
        <v>2020</v>
      </c>
      <c r="CL1">
        <v>2020</v>
      </c>
      <c r="CM1">
        <v>2020</v>
      </c>
      <c r="CN1">
        <v>2020</v>
      </c>
      <c r="CO1">
        <v>2020</v>
      </c>
      <c r="CP1">
        <v>2020</v>
      </c>
      <c r="CQ1">
        <v>2020</v>
      </c>
      <c r="CR1">
        <v>2020</v>
      </c>
      <c r="CS1">
        <v>2020</v>
      </c>
      <c r="CT1">
        <v>2020</v>
      </c>
      <c r="CU1">
        <v>2021</v>
      </c>
      <c r="CV1">
        <v>2021</v>
      </c>
      <c r="CW1">
        <v>2021</v>
      </c>
      <c r="CX1">
        <v>2021</v>
      </c>
      <c r="CY1">
        <v>2021</v>
      </c>
      <c r="CZ1">
        <v>2021</v>
      </c>
      <c r="DA1">
        <v>2021</v>
      </c>
      <c r="DB1">
        <v>2021</v>
      </c>
      <c r="DC1">
        <v>2021</v>
      </c>
      <c r="DD1">
        <v>2021</v>
      </c>
      <c r="DE1">
        <v>2021</v>
      </c>
      <c r="DF1">
        <v>2021</v>
      </c>
      <c r="DG1">
        <v>2022</v>
      </c>
      <c r="DH1">
        <v>2022</v>
      </c>
      <c r="DI1">
        <v>2022</v>
      </c>
      <c r="DJ1">
        <v>2022</v>
      </c>
      <c r="DK1">
        <v>2022</v>
      </c>
      <c r="DL1">
        <v>2022</v>
      </c>
      <c r="DM1">
        <v>2022</v>
      </c>
      <c r="DN1">
        <v>2022</v>
      </c>
      <c r="DO1">
        <v>2022</v>
      </c>
      <c r="DP1">
        <v>2022</v>
      </c>
      <c r="DQ1">
        <v>2022</v>
      </c>
      <c r="DR1">
        <v>2022</v>
      </c>
      <c r="DS1">
        <v>2023</v>
      </c>
      <c r="DT1">
        <v>2023</v>
      </c>
      <c r="DU1">
        <v>2023</v>
      </c>
      <c r="DV1">
        <v>2023</v>
      </c>
      <c r="DW1">
        <v>2023</v>
      </c>
    </row>
    <row r="2" spans="1:127" x14ac:dyDescent="0.3">
      <c r="A2" t="s">
        <v>0</v>
      </c>
      <c r="B2" t="s">
        <v>60</v>
      </c>
      <c r="C2" t="s">
        <v>57</v>
      </c>
      <c r="D2" t="s">
        <v>42</v>
      </c>
      <c r="E2" t="s">
        <v>44</v>
      </c>
      <c r="F2" t="s">
        <v>45</v>
      </c>
      <c r="G2" t="s">
        <v>46</v>
      </c>
      <c r="H2" t="s">
        <v>34</v>
      </c>
      <c r="I2" t="s">
        <v>47</v>
      </c>
      <c r="J2" t="s">
        <v>48</v>
      </c>
      <c r="K2" t="s">
        <v>49</v>
      </c>
      <c r="L2" t="s">
        <v>50</v>
      </c>
      <c r="M2" t="s">
        <v>51</v>
      </c>
      <c r="N2" t="s">
        <v>52</v>
      </c>
      <c r="O2" t="s">
        <v>54</v>
      </c>
      <c r="P2" t="s">
        <v>42</v>
      </c>
      <c r="Q2" t="s">
        <v>44</v>
      </c>
      <c r="R2" t="s">
        <v>45</v>
      </c>
      <c r="S2" t="s">
        <v>46</v>
      </c>
      <c r="T2" t="s">
        <v>34</v>
      </c>
      <c r="U2" t="s">
        <v>47</v>
      </c>
      <c r="V2" t="s">
        <v>48</v>
      </c>
      <c r="W2" t="s">
        <v>49</v>
      </c>
      <c r="X2" t="s">
        <v>50</v>
      </c>
      <c r="Y2" t="s">
        <v>51</v>
      </c>
      <c r="Z2" t="s">
        <v>53</v>
      </c>
      <c r="AA2" t="s">
        <v>54</v>
      </c>
      <c r="AB2" t="s">
        <v>42</v>
      </c>
      <c r="AC2" t="s">
        <v>44</v>
      </c>
      <c r="AD2" t="s">
        <v>45</v>
      </c>
      <c r="AE2" t="s">
        <v>46</v>
      </c>
      <c r="AF2" t="s">
        <v>34</v>
      </c>
      <c r="AG2" t="s">
        <v>47</v>
      </c>
      <c r="AH2" t="s">
        <v>48</v>
      </c>
      <c r="AI2" t="s">
        <v>49</v>
      </c>
      <c r="AJ2" t="s">
        <v>50</v>
      </c>
      <c r="AK2" t="s">
        <v>51</v>
      </c>
      <c r="AL2" t="s">
        <v>53</v>
      </c>
      <c r="AM2" t="s">
        <v>54</v>
      </c>
      <c r="AN2" t="s">
        <v>42</v>
      </c>
      <c r="AO2" t="s">
        <v>44</v>
      </c>
      <c r="AP2" t="s">
        <v>45</v>
      </c>
      <c r="AQ2" t="s">
        <v>46</v>
      </c>
      <c r="AR2" t="s">
        <v>34</v>
      </c>
      <c r="AS2" t="s">
        <v>47</v>
      </c>
      <c r="AT2" t="s">
        <v>48</v>
      </c>
      <c r="AU2" t="s">
        <v>49</v>
      </c>
      <c r="AV2" t="s">
        <v>50</v>
      </c>
      <c r="AW2" t="s">
        <v>51</v>
      </c>
      <c r="AX2" t="s">
        <v>53</v>
      </c>
      <c r="AY2" t="s">
        <v>54</v>
      </c>
      <c r="AZ2" t="s">
        <v>42</v>
      </c>
      <c r="BA2" t="s">
        <v>44</v>
      </c>
      <c r="BB2" t="s">
        <v>45</v>
      </c>
      <c r="BC2" t="s">
        <v>46</v>
      </c>
      <c r="BD2" t="s">
        <v>34</v>
      </c>
      <c r="BE2" t="s">
        <v>47</v>
      </c>
      <c r="BF2" t="s">
        <v>48</v>
      </c>
      <c r="BG2" t="s">
        <v>49</v>
      </c>
      <c r="BH2" t="s">
        <v>50</v>
      </c>
      <c r="BI2" t="s">
        <v>51</v>
      </c>
      <c r="BJ2" t="s">
        <v>53</v>
      </c>
      <c r="BK2" t="s">
        <v>54</v>
      </c>
      <c r="BL2" t="s">
        <v>42</v>
      </c>
      <c r="BM2" t="s">
        <v>44</v>
      </c>
      <c r="BN2" t="s">
        <v>45</v>
      </c>
      <c r="BO2" t="s">
        <v>46</v>
      </c>
      <c r="BP2" t="s">
        <v>34</v>
      </c>
      <c r="BQ2" t="s">
        <v>47</v>
      </c>
      <c r="BR2" t="s">
        <v>48</v>
      </c>
      <c r="BS2" t="s">
        <v>49</v>
      </c>
      <c r="BT2" t="s">
        <v>50</v>
      </c>
      <c r="BU2" t="s">
        <v>51</v>
      </c>
      <c r="BV2" t="s">
        <v>53</v>
      </c>
      <c r="BW2" t="s">
        <v>54</v>
      </c>
      <c r="BX2" t="s">
        <v>42</v>
      </c>
      <c r="BY2" t="s">
        <v>44</v>
      </c>
      <c r="BZ2" t="s">
        <v>45</v>
      </c>
      <c r="CA2" t="s">
        <v>34</v>
      </c>
      <c r="CB2" t="s">
        <v>47</v>
      </c>
      <c r="CC2" t="s">
        <v>48</v>
      </c>
      <c r="CD2" t="s">
        <v>49</v>
      </c>
      <c r="CE2" t="s">
        <v>50</v>
      </c>
      <c r="CF2" t="s">
        <v>51</v>
      </c>
      <c r="CG2" t="s">
        <v>53</v>
      </c>
      <c r="CH2" t="s">
        <v>54</v>
      </c>
      <c r="CI2" t="s">
        <v>42</v>
      </c>
      <c r="CJ2" t="s">
        <v>44</v>
      </c>
      <c r="CK2" t="s">
        <v>45</v>
      </c>
      <c r="CL2" t="s">
        <v>46</v>
      </c>
      <c r="CM2" t="s">
        <v>34</v>
      </c>
      <c r="CN2" t="s">
        <v>47</v>
      </c>
      <c r="CO2" t="s">
        <v>48</v>
      </c>
      <c r="CP2" t="s">
        <v>49</v>
      </c>
      <c r="CQ2" t="s">
        <v>50</v>
      </c>
      <c r="CR2" t="s">
        <v>51</v>
      </c>
      <c r="CS2" t="s">
        <v>53</v>
      </c>
      <c r="CT2" t="s">
        <v>54</v>
      </c>
      <c r="CU2" t="s">
        <v>42</v>
      </c>
      <c r="CV2" t="s">
        <v>44</v>
      </c>
      <c r="CW2" t="s">
        <v>45</v>
      </c>
      <c r="CX2" t="s">
        <v>46</v>
      </c>
      <c r="CY2" t="s">
        <v>34</v>
      </c>
      <c r="CZ2" t="s">
        <v>47</v>
      </c>
      <c r="DA2" t="s">
        <v>48</v>
      </c>
      <c r="DB2" t="s">
        <v>49</v>
      </c>
      <c r="DC2" t="s">
        <v>50</v>
      </c>
      <c r="DD2" t="s">
        <v>51</v>
      </c>
      <c r="DE2" t="s">
        <v>53</v>
      </c>
      <c r="DF2" t="s">
        <v>54</v>
      </c>
      <c r="DG2" t="s">
        <v>42</v>
      </c>
      <c r="DH2" t="s">
        <v>44</v>
      </c>
      <c r="DI2" t="s">
        <v>45</v>
      </c>
      <c r="DJ2" t="s">
        <v>46</v>
      </c>
      <c r="DK2" t="s">
        <v>34</v>
      </c>
      <c r="DL2" t="s">
        <v>47</v>
      </c>
      <c r="DM2" t="s">
        <v>48</v>
      </c>
      <c r="DN2" t="s">
        <v>49</v>
      </c>
      <c r="DO2" t="s">
        <v>50</v>
      </c>
      <c r="DP2" t="s">
        <v>51</v>
      </c>
      <c r="DQ2" t="s">
        <v>53</v>
      </c>
      <c r="DR2" t="s">
        <v>54</v>
      </c>
      <c r="DS2" t="s">
        <v>42</v>
      </c>
      <c r="DT2" t="s">
        <v>44</v>
      </c>
      <c r="DU2" t="s">
        <v>45</v>
      </c>
      <c r="DV2" t="s">
        <v>46</v>
      </c>
      <c r="DW2" t="s">
        <v>34</v>
      </c>
    </row>
    <row r="3" spans="1:127" x14ac:dyDescent="0.3">
      <c r="A3" t="s">
        <v>33</v>
      </c>
      <c r="B3" t="str">
        <f>VLOOKUP(C3,'Broader Categories'!$A$1:$B$28,2,FALSE)</f>
        <v>Food</v>
      </c>
      <c r="C3" t="s">
        <v>3</v>
      </c>
      <c r="D3">
        <v>107.5</v>
      </c>
      <c r="E3">
        <v>109.2</v>
      </c>
      <c r="F3">
        <v>110.2</v>
      </c>
      <c r="G3">
        <v>110.2</v>
      </c>
      <c r="H3">
        <v>110.9</v>
      </c>
      <c r="I3">
        <v>112.3</v>
      </c>
      <c r="J3">
        <v>113.4</v>
      </c>
      <c r="K3">
        <v>114.3</v>
      </c>
      <c r="L3">
        <v>115.4</v>
      </c>
      <c r="M3">
        <v>116.3</v>
      </c>
      <c r="N3">
        <v>117.3</v>
      </c>
      <c r="O3">
        <v>118.4</v>
      </c>
      <c r="P3">
        <v>118.9</v>
      </c>
      <c r="Q3">
        <v>119.4</v>
      </c>
      <c r="R3">
        <v>120.1</v>
      </c>
      <c r="S3">
        <v>120.2</v>
      </c>
      <c r="T3">
        <v>120.3</v>
      </c>
      <c r="U3">
        <v>120.7</v>
      </c>
      <c r="V3">
        <v>121.7</v>
      </c>
      <c r="W3">
        <v>121.8</v>
      </c>
      <c r="X3">
        <v>122.3</v>
      </c>
      <c r="Y3">
        <v>122.6</v>
      </c>
      <c r="Z3">
        <v>122.7</v>
      </c>
      <c r="AA3">
        <v>122.4</v>
      </c>
      <c r="AB3">
        <v>123.1</v>
      </c>
      <c r="AC3">
        <v>123.4</v>
      </c>
      <c r="AD3">
        <v>123.3</v>
      </c>
      <c r="AE3">
        <v>123.3</v>
      </c>
      <c r="AF3">
        <v>123.5</v>
      </c>
      <c r="AG3">
        <v>124.1</v>
      </c>
      <c r="AH3">
        <v>124</v>
      </c>
      <c r="AI3">
        <v>124.7</v>
      </c>
      <c r="AJ3">
        <v>125.1</v>
      </c>
      <c r="AK3">
        <v>125.6</v>
      </c>
      <c r="AL3">
        <v>126.1</v>
      </c>
      <c r="AM3">
        <v>126.3</v>
      </c>
      <c r="AN3">
        <v>126.8</v>
      </c>
      <c r="AO3">
        <v>127.1</v>
      </c>
      <c r="AP3">
        <v>127.3</v>
      </c>
      <c r="AQ3">
        <v>127.4</v>
      </c>
      <c r="AR3">
        <v>127.6</v>
      </c>
      <c r="AS3">
        <v>128.6</v>
      </c>
      <c r="AT3">
        <v>129.30000000000001</v>
      </c>
      <c r="AU3">
        <v>130.1</v>
      </c>
      <c r="AV3">
        <v>130.80000000000001</v>
      </c>
      <c r="AW3">
        <v>131.30000000000001</v>
      </c>
      <c r="AX3">
        <v>132</v>
      </c>
      <c r="AY3">
        <v>132.6</v>
      </c>
      <c r="AZ3">
        <v>133.1</v>
      </c>
      <c r="BA3">
        <v>133.30000000000001</v>
      </c>
      <c r="BB3">
        <v>133.6</v>
      </c>
      <c r="BC3">
        <v>133.19999999999999</v>
      </c>
      <c r="BD3">
        <v>133.1</v>
      </c>
      <c r="BE3">
        <v>133.5</v>
      </c>
      <c r="BF3">
        <v>134</v>
      </c>
      <c r="BG3">
        <v>134.80000000000001</v>
      </c>
      <c r="BH3">
        <v>135.19999999999999</v>
      </c>
      <c r="BI3">
        <v>135.9</v>
      </c>
      <c r="BJ3">
        <v>136.30000000000001</v>
      </c>
      <c r="BK3">
        <v>136.4</v>
      </c>
      <c r="BL3">
        <v>136.6</v>
      </c>
      <c r="BM3">
        <v>136.4</v>
      </c>
      <c r="BN3">
        <v>136.80000000000001</v>
      </c>
      <c r="BO3">
        <v>137.1</v>
      </c>
      <c r="BP3">
        <v>137.4</v>
      </c>
      <c r="BQ3">
        <v>137.6</v>
      </c>
      <c r="BR3">
        <v>138.4</v>
      </c>
      <c r="BS3">
        <v>139.19999999999999</v>
      </c>
      <c r="BT3">
        <v>139.4</v>
      </c>
      <c r="BU3">
        <v>139.30000000000001</v>
      </c>
      <c r="BV3">
        <v>137.1</v>
      </c>
      <c r="BW3">
        <v>137.1</v>
      </c>
      <c r="BX3">
        <v>136.6</v>
      </c>
      <c r="BY3">
        <v>136.80000000000001</v>
      </c>
      <c r="BZ3">
        <v>136.9</v>
      </c>
      <c r="CA3">
        <v>137.4</v>
      </c>
      <c r="CB3">
        <v>137.80000000000001</v>
      </c>
      <c r="CC3">
        <v>138.4</v>
      </c>
      <c r="CD3">
        <v>139.19999999999999</v>
      </c>
      <c r="CE3">
        <v>140.1</v>
      </c>
      <c r="CF3">
        <v>141</v>
      </c>
      <c r="CG3">
        <v>141.80000000000001</v>
      </c>
      <c r="CH3">
        <v>142.80000000000001</v>
      </c>
      <c r="CI3">
        <v>143.69999999999999</v>
      </c>
      <c r="CJ3">
        <v>144.19999999999999</v>
      </c>
      <c r="CK3">
        <v>144.4</v>
      </c>
      <c r="CL3">
        <v>147.19999999999999</v>
      </c>
      <c r="CM3" t="s">
        <v>43</v>
      </c>
      <c r="CN3">
        <v>148.19999999999999</v>
      </c>
      <c r="CO3">
        <v>148.19999999999999</v>
      </c>
      <c r="CP3">
        <v>147.6</v>
      </c>
      <c r="CQ3">
        <v>146.9</v>
      </c>
      <c r="CR3">
        <v>146</v>
      </c>
      <c r="CS3">
        <v>145.4</v>
      </c>
      <c r="CT3">
        <v>144.6</v>
      </c>
      <c r="CU3">
        <v>143.4</v>
      </c>
      <c r="CV3">
        <v>142.80000000000001</v>
      </c>
      <c r="CW3">
        <v>142.5</v>
      </c>
      <c r="CX3">
        <v>142.69999999999999</v>
      </c>
      <c r="CY3">
        <v>145.1</v>
      </c>
      <c r="CZ3">
        <v>145.6</v>
      </c>
      <c r="DA3">
        <v>145.1</v>
      </c>
      <c r="DB3">
        <v>144.9</v>
      </c>
      <c r="DC3">
        <v>145.4</v>
      </c>
      <c r="DD3">
        <v>146.1</v>
      </c>
      <c r="DE3">
        <v>146.9</v>
      </c>
      <c r="DF3">
        <v>147.4</v>
      </c>
      <c r="DG3">
        <v>148.30000000000001</v>
      </c>
      <c r="DH3">
        <v>148.80000000000001</v>
      </c>
      <c r="DI3">
        <v>150.19999999999999</v>
      </c>
      <c r="DJ3">
        <v>151.80000000000001</v>
      </c>
      <c r="DK3">
        <v>152.9</v>
      </c>
      <c r="DL3">
        <v>153.80000000000001</v>
      </c>
      <c r="DM3">
        <v>155.19999999999999</v>
      </c>
      <c r="DN3">
        <v>159.5</v>
      </c>
      <c r="DO3">
        <v>162.9</v>
      </c>
      <c r="DP3">
        <v>164.7</v>
      </c>
      <c r="DQ3">
        <v>166.9</v>
      </c>
      <c r="DR3">
        <v>168.8</v>
      </c>
      <c r="DS3">
        <v>174</v>
      </c>
      <c r="DT3">
        <v>174.2</v>
      </c>
      <c r="DU3">
        <v>174.3</v>
      </c>
      <c r="DV3">
        <v>173.3</v>
      </c>
      <c r="DW3">
        <v>173.2</v>
      </c>
    </row>
    <row r="4" spans="1:127" x14ac:dyDescent="0.3">
      <c r="A4" t="s">
        <v>33</v>
      </c>
      <c r="B4" t="str">
        <f>VLOOKUP(C4,'Broader Categories'!$A$1:$B$28,2,FALSE)</f>
        <v>Food</v>
      </c>
      <c r="C4" t="s">
        <v>4</v>
      </c>
      <c r="D4">
        <v>106.3</v>
      </c>
      <c r="E4">
        <v>108.7</v>
      </c>
      <c r="F4">
        <v>108.8</v>
      </c>
      <c r="G4">
        <v>109.5</v>
      </c>
      <c r="H4">
        <v>109.8</v>
      </c>
      <c r="I4">
        <v>112.1</v>
      </c>
      <c r="J4">
        <v>114.9</v>
      </c>
      <c r="K4">
        <v>115.4</v>
      </c>
      <c r="L4">
        <v>115.7</v>
      </c>
      <c r="M4">
        <v>115.4</v>
      </c>
      <c r="N4">
        <v>114.9</v>
      </c>
      <c r="O4">
        <v>115.9</v>
      </c>
      <c r="P4">
        <v>117.1</v>
      </c>
      <c r="Q4">
        <v>117.7</v>
      </c>
      <c r="R4">
        <v>118.1</v>
      </c>
      <c r="S4">
        <v>118.9</v>
      </c>
      <c r="T4">
        <v>120.2</v>
      </c>
      <c r="U4">
        <v>121.6</v>
      </c>
      <c r="V4">
        <v>122.5</v>
      </c>
      <c r="W4">
        <v>122.8</v>
      </c>
      <c r="X4">
        <v>122.4</v>
      </c>
      <c r="Y4">
        <v>122.5</v>
      </c>
      <c r="Z4">
        <v>122.6</v>
      </c>
      <c r="AA4">
        <v>122.4</v>
      </c>
      <c r="AB4">
        <v>123.1</v>
      </c>
      <c r="AC4">
        <v>124.4</v>
      </c>
      <c r="AD4">
        <v>124.7</v>
      </c>
      <c r="AE4">
        <v>125.5</v>
      </c>
      <c r="AF4">
        <v>127.1</v>
      </c>
      <c r="AG4">
        <v>130.4</v>
      </c>
      <c r="AH4">
        <v>131.5</v>
      </c>
      <c r="AI4">
        <v>131.30000000000001</v>
      </c>
      <c r="AJ4">
        <v>131.1</v>
      </c>
      <c r="AK4">
        <v>130.4</v>
      </c>
      <c r="AL4">
        <v>130.6</v>
      </c>
      <c r="AM4">
        <v>131.30000000000001</v>
      </c>
      <c r="AN4">
        <v>133.19999999999999</v>
      </c>
      <c r="AO4">
        <v>133.69999999999999</v>
      </c>
      <c r="AP4">
        <v>134.4</v>
      </c>
      <c r="AQ4">
        <v>135.4</v>
      </c>
      <c r="AR4">
        <v>137.5</v>
      </c>
      <c r="AS4">
        <v>138.6</v>
      </c>
      <c r="AT4">
        <v>139.5</v>
      </c>
      <c r="AU4">
        <v>138.80000000000001</v>
      </c>
      <c r="AV4">
        <v>138.19999999999999</v>
      </c>
      <c r="AW4">
        <v>137.6</v>
      </c>
      <c r="AX4">
        <v>137.4</v>
      </c>
      <c r="AY4">
        <v>137.30000000000001</v>
      </c>
      <c r="AZ4">
        <v>137.80000000000001</v>
      </c>
      <c r="BA4">
        <v>138.30000000000001</v>
      </c>
      <c r="BB4">
        <v>138.80000000000001</v>
      </c>
      <c r="BC4">
        <v>138.69999999999999</v>
      </c>
      <c r="BD4">
        <v>140.30000000000001</v>
      </c>
      <c r="BE4">
        <v>143.69999999999999</v>
      </c>
      <c r="BF4">
        <v>144.19999999999999</v>
      </c>
      <c r="BG4">
        <v>143.1</v>
      </c>
      <c r="BH4">
        <v>142</v>
      </c>
      <c r="BI4">
        <v>141.9</v>
      </c>
      <c r="BJ4">
        <v>142.5</v>
      </c>
      <c r="BK4">
        <v>143.69999999999999</v>
      </c>
      <c r="BL4">
        <v>144.4</v>
      </c>
      <c r="BM4">
        <v>143.69999999999999</v>
      </c>
      <c r="BN4">
        <v>143.80000000000001</v>
      </c>
      <c r="BO4">
        <v>144.5</v>
      </c>
      <c r="BP4">
        <v>145.69999999999999</v>
      </c>
      <c r="BQ4">
        <v>148.1</v>
      </c>
      <c r="BR4">
        <v>149.30000000000001</v>
      </c>
      <c r="BS4">
        <v>148.80000000000001</v>
      </c>
      <c r="BT4">
        <v>147.19999999999999</v>
      </c>
      <c r="BU4">
        <v>147.6</v>
      </c>
      <c r="BV4">
        <v>150.80000000000001</v>
      </c>
      <c r="BW4">
        <v>151.9</v>
      </c>
      <c r="BX4">
        <v>152.5</v>
      </c>
      <c r="BY4">
        <v>153</v>
      </c>
      <c r="BZ4">
        <v>154.1</v>
      </c>
      <c r="CA4">
        <v>159.5</v>
      </c>
      <c r="CB4">
        <v>163.5</v>
      </c>
      <c r="CC4">
        <v>164</v>
      </c>
      <c r="CD4">
        <v>161.9</v>
      </c>
      <c r="CE4">
        <v>161.9</v>
      </c>
      <c r="CF4">
        <v>161.6</v>
      </c>
      <c r="CG4">
        <v>163.69999999999999</v>
      </c>
      <c r="CH4">
        <v>165.3</v>
      </c>
      <c r="CI4">
        <v>167.3</v>
      </c>
      <c r="CJ4">
        <v>167.5</v>
      </c>
      <c r="CK4">
        <v>166.8</v>
      </c>
      <c r="CL4" t="s">
        <v>43</v>
      </c>
      <c r="CM4" t="s">
        <v>43</v>
      </c>
      <c r="CN4">
        <v>190.3</v>
      </c>
      <c r="CO4">
        <v>190.3</v>
      </c>
      <c r="CP4">
        <v>187.2</v>
      </c>
      <c r="CQ4">
        <v>183.9</v>
      </c>
      <c r="CR4">
        <v>186.3</v>
      </c>
      <c r="CS4">
        <v>188.6</v>
      </c>
      <c r="CT4">
        <v>188.5</v>
      </c>
      <c r="CU4">
        <v>187.5</v>
      </c>
      <c r="CV4">
        <v>184</v>
      </c>
      <c r="CW4">
        <v>189.4</v>
      </c>
      <c r="CX4">
        <v>195.5</v>
      </c>
      <c r="CY4">
        <v>198.5</v>
      </c>
      <c r="CZ4">
        <v>200.1</v>
      </c>
      <c r="DA4">
        <v>204.5</v>
      </c>
      <c r="DB4">
        <v>202.3</v>
      </c>
      <c r="DC4">
        <v>202.1</v>
      </c>
      <c r="DD4">
        <v>202.5</v>
      </c>
      <c r="DE4">
        <v>199.8</v>
      </c>
      <c r="DF4">
        <v>197</v>
      </c>
      <c r="DG4">
        <v>196.9</v>
      </c>
      <c r="DH4">
        <v>198.1</v>
      </c>
      <c r="DI4">
        <v>208</v>
      </c>
      <c r="DJ4">
        <v>209.7</v>
      </c>
      <c r="DK4">
        <v>214.7</v>
      </c>
      <c r="DL4">
        <v>217.2</v>
      </c>
      <c r="DM4">
        <v>210.8</v>
      </c>
      <c r="DN4">
        <v>204.1</v>
      </c>
      <c r="DO4">
        <v>206.7</v>
      </c>
      <c r="DP4">
        <v>208.8</v>
      </c>
      <c r="DQ4">
        <v>207.2</v>
      </c>
      <c r="DR4">
        <v>206.9</v>
      </c>
      <c r="DS4">
        <v>208.3</v>
      </c>
      <c r="DT4">
        <v>205.2</v>
      </c>
      <c r="DU4">
        <v>205.2</v>
      </c>
      <c r="DV4">
        <v>206.9</v>
      </c>
      <c r="DW4">
        <v>211.5</v>
      </c>
    </row>
    <row r="5" spans="1:127" x14ac:dyDescent="0.3">
      <c r="A5" t="s">
        <v>33</v>
      </c>
      <c r="B5" t="str">
        <f>VLOOKUP(C5,'Broader Categories'!$A$1:$B$28,2,FALSE)</f>
        <v>Food</v>
      </c>
      <c r="C5" t="s">
        <v>5</v>
      </c>
      <c r="D5">
        <v>108.1</v>
      </c>
      <c r="E5">
        <v>110.2</v>
      </c>
      <c r="F5">
        <v>109.9</v>
      </c>
      <c r="G5">
        <v>106.9</v>
      </c>
      <c r="H5">
        <v>105.9</v>
      </c>
      <c r="I5">
        <v>108.1</v>
      </c>
      <c r="J5">
        <v>110.5</v>
      </c>
      <c r="K5">
        <v>111.1</v>
      </c>
      <c r="L5">
        <v>111.7</v>
      </c>
      <c r="M5">
        <v>112.6</v>
      </c>
      <c r="N5">
        <v>116.2</v>
      </c>
      <c r="O5">
        <v>120.4</v>
      </c>
      <c r="P5">
        <v>120.5</v>
      </c>
      <c r="Q5">
        <v>121.2</v>
      </c>
      <c r="R5">
        <v>120.7</v>
      </c>
      <c r="S5">
        <v>118.1</v>
      </c>
      <c r="T5">
        <v>116.9</v>
      </c>
      <c r="U5">
        <v>116.1</v>
      </c>
      <c r="V5">
        <v>117.7</v>
      </c>
      <c r="W5">
        <v>117.8</v>
      </c>
      <c r="X5">
        <v>117.8</v>
      </c>
      <c r="Y5">
        <v>118.3</v>
      </c>
      <c r="Z5">
        <v>119.9</v>
      </c>
      <c r="AA5">
        <v>121.8</v>
      </c>
      <c r="AB5">
        <v>122.1</v>
      </c>
      <c r="AC5">
        <v>122.1</v>
      </c>
      <c r="AD5">
        <v>118.9</v>
      </c>
      <c r="AE5">
        <v>117.2</v>
      </c>
      <c r="AF5">
        <v>117.3</v>
      </c>
      <c r="AG5">
        <v>122.1</v>
      </c>
      <c r="AH5">
        <v>122</v>
      </c>
      <c r="AI5">
        <v>121.3</v>
      </c>
      <c r="AJ5">
        <v>120.7</v>
      </c>
      <c r="AK5">
        <v>120.8</v>
      </c>
      <c r="AL5">
        <v>121.7</v>
      </c>
      <c r="AM5">
        <v>123.3</v>
      </c>
      <c r="AN5">
        <v>126.5</v>
      </c>
      <c r="AO5">
        <v>127.7</v>
      </c>
      <c r="AP5">
        <v>125.1</v>
      </c>
      <c r="AQ5">
        <v>123.4</v>
      </c>
      <c r="AR5">
        <v>124.4</v>
      </c>
      <c r="AS5">
        <v>126.6</v>
      </c>
      <c r="AT5">
        <v>129.6</v>
      </c>
      <c r="AU5">
        <v>130.30000000000001</v>
      </c>
      <c r="AV5">
        <v>130.5</v>
      </c>
      <c r="AW5">
        <v>130.1</v>
      </c>
      <c r="AX5">
        <v>130.6</v>
      </c>
      <c r="AY5">
        <v>131.6</v>
      </c>
      <c r="AZ5">
        <v>131.9</v>
      </c>
      <c r="BA5">
        <v>129.30000000000001</v>
      </c>
      <c r="BB5">
        <v>128.80000000000001</v>
      </c>
      <c r="BC5">
        <v>127.1</v>
      </c>
      <c r="BD5">
        <v>126.8</v>
      </c>
      <c r="BE5">
        <v>128</v>
      </c>
      <c r="BF5">
        <v>129.80000000000001</v>
      </c>
      <c r="BG5">
        <v>130</v>
      </c>
      <c r="BH5">
        <v>130.5</v>
      </c>
      <c r="BI5">
        <v>131</v>
      </c>
      <c r="BJ5">
        <v>140.5</v>
      </c>
      <c r="BK5">
        <v>144.80000000000001</v>
      </c>
      <c r="BL5">
        <v>143.80000000000001</v>
      </c>
      <c r="BM5">
        <v>140.6</v>
      </c>
      <c r="BN5">
        <v>140</v>
      </c>
      <c r="BO5">
        <v>135.9</v>
      </c>
      <c r="BP5">
        <v>135.5</v>
      </c>
      <c r="BQ5">
        <v>136.69999999999999</v>
      </c>
      <c r="BR5">
        <v>139.30000000000001</v>
      </c>
      <c r="BS5">
        <v>139.1</v>
      </c>
      <c r="BT5">
        <v>136.6</v>
      </c>
      <c r="BU5">
        <v>134.6</v>
      </c>
      <c r="BV5">
        <v>136.69999999999999</v>
      </c>
      <c r="BW5">
        <v>137.4</v>
      </c>
      <c r="BX5">
        <v>138.19999999999999</v>
      </c>
      <c r="BY5">
        <v>139.1</v>
      </c>
      <c r="BZ5">
        <v>138.69999999999999</v>
      </c>
      <c r="CA5">
        <v>134.5</v>
      </c>
      <c r="CB5">
        <v>136.19999999999999</v>
      </c>
      <c r="CC5">
        <v>138.4</v>
      </c>
      <c r="CD5">
        <v>137.1</v>
      </c>
      <c r="CE5">
        <v>138.30000000000001</v>
      </c>
      <c r="CF5">
        <v>141.19999999999999</v>
      </c>
      <c r="CG5">
        <v>143.80000000000001</v>
      </c>
      <c r="CH5">
        <v>149.5</v>
      </c>
      <c r="CI5">
        <v>153.5</v>
      </c>
      <c r="CJ5">
        <v>150.9</v>
      </c>
      <c r="CK5">
        <v>147.6</v>
      </c>
      <c r="CL5">
        <v>146.9</v>
      </c>
      <c r="CM5" t="s">
        <v>43</v>
      </c>
      <c r="CN5">
        <v>149.4</v>
      </c>
      <c r="CO5">
        <v>149.4</v>
      </c>
      <c r="CP5">
        <v>148.4</v>
      </c>
      <c r="CQ5">
        <v>149.5</v>
      </c>
      <c r="CR5">
        <v>159.19999999999999</v>
      </c>
      <c r="CS5">
        <v>171.6</v>
      </c>
      <c r="CT5">
        <v>173.4</v>
      </c>
      <c r="CU5">
        <v>173.4</v>
      </c>
      <c r="CV5">
        <v>168</v>
      </c>
      <c r="CW5">
        <v>163.19999999999999</v>
      </c>
      <c r="CX5">
        <v>163.4</v>
      </c>
      <c r="CY5">
        <v>168.6</v>
      </c>
      <c r="CZ5">
        <v>179.3</v>
      </c>
      <c r="DA5">
        <v>180.4</v>
      </c>
      <c r="DB5">
        <v>176.5</v>
      </c>
      <c r="DC5">
        <v>172</v>
      </c>
      <c r="DD5">
        <v>170.1</v>
      </c>
      <c r="DE5">
        <v>171.5</v>
      </c>
      <c r="DF5">
        <v>176.5</v>
      </c>
      <c r="DG5">
        <v>178</v>
      </c>
      <c r="DH5">
        <v>175.5</v>
      </c>
      <c r="DI5">
        <v>167.9</v>
      </c>
      <c r="DJ5">
        <v>164.5</v>
      </c>
      <c r="DK5">
        <v>161.4</v>
      </c>
      <c r="DL5">
        <v>169.6</v>
      </c>
      <c r="DM5">
        <v>174.3</v>
      </c>
      <c r="DN5">
        <v>168.3</v>
      </c>
      <c r="DO5">
        <v>169</v>
      </c>
      <c r="DP5">
        <v>170.3</v>
      </c>
      <c r="DQ5">
        <v>180.2</v>
      </c>
      <c r="DR5">
        <v>189.1</v>
      </c>
      <c r="DS5">
        <v>192.9</v>
      </c>
      <c r="DT5">
        <v>173.9</v>
      </c>
      <c r="DU5">
        <v>173.9</v>
      </c>
      <c r="DV5">
        <v>167.9</v>
      </c>
      <c r="DW5">
        <v>171</v>
      </c>
    </row>
    <row r="6" spans="1:127" x14ac:dyDescent="0.3">
      <c r="A6" t="s">
        <v>33</v>
      </c>
      <c r="B6" t="str">
        <f>VLOOKUP(C6,'Broader Categories'!$A$1:$B$28,2,FALSE)</f>
        <v>Food</v>
      </c>
      <c r="C6" t="s">
        <v>6</v>
      </c>
      <c r="D6">
        <v>104.9</v>
      </c>
      <c r="E6">
        <v>105.4</v>
      </c>
      <c r="F6">
        <v>105.6</v>
      </c>
      <c r="G6">
        <v>106.3</v>
      </c>
      <c r="H6">
        <v>107.5</v>
      </c>
      <c r="I6">
        <v>108.3</v>
      </c>
      <c r="J6">
        <v>109.3</v>
      </c>
      <c r="K6">
        <v>110</v>
      </c>
      <c r="L6">
        <v>111</v>
      </c>
      <c r="M6">
        <v>111.7</v>
      </c>
      <c r="N6">
        <v>112.8</v>
      </c>
      <c r="O6">
        <v>113.8</v>
      </c>
      <c r="P6">
        <v>114.4</v>
      </c>
      <c r="Q6">
        <v>115</v>
      </c>
      <c r="R6">
        <v>116.1</v>
      </c>
      <c r="S6">
        <v>117</v>
      </c>
      <c r="T6">
        <v>118</v>
      </c>
      <c r="U6">
        <v>119.3</v>
      </c>
      <c r="V6">
        <v>120.6</v>
      </c>
      <c r="W6">
        <v>121.9</v>
      </c>
      <c r="X6">
        <v>122.7</v>
      </c>
      <c r="Y6">
        <v>123.2</v>
      </c>
      <c r="Z6">
        <v>124</v>
      </c>
      <c r="AA6">
        <v>124.2</v>
      </c>
      <c r="AB6">
        <v>124.9</v>
      </c>
      <c r="AC6">
        <v>125.8</v>
      </c>
      <c r="AD6">
        <v>126</v>
      </c>
      <c r="AE6">
        <v>126.8</v>
      </c>
      <c r="AF6">
        <v>127.7</v>
      </c>
      <c r="AG6">
        <v>128.69999999999999</v>
      </c>
      <c r="AH6">
        <v>128.69999999999999</v>
      </c>
      <c r="AI6">
        <v>128.80000000000001</v>
      </c>
      <c r="AJ6">
        <v>129.19999999999999</v>
      </c>
      <c r="AK6">
        <v>129.4</v>
      </c>
      <c r="AL6">
        <v>129.5</v>
      </c>
      <c r="AM6">
        <v>129.80000000000001</v>
      </c>
      <c r="AN6">
        <v>130.30000000000001</v>
      </c>
      <c r="AO6">
        <v>130.69999999999999</v>
      </c>
      <c r="AP6">
        <v>130.5</v>
      </c>
      <c r="AQ6">
        <v>131.30000000000001</v>
      </c>
      <c r="AR6">
        <v>132.4</v>
      </c>
      <c r="AS6">
        <v>133.6</v>
      </c>
      <c r="AT6">
        <v>134.5</v>
      </c>
      <c r="AU6">
        <v>135.30000000000001</v>
      </c>
      <c r="AV6">
        <v>135.5</v>
      </c>
      <c r="AW6">
        <v>136</v>
      </c>
      <c r="AX6">
        <v>136.19999999999999</v>
      </c>
      <c r="AY6">
        <v>136.30000000000001</v>
      </c>
      <c r="AZ6">
        <v>136.69999999999999</v>
      </c>
      <c r="BA6">
        <v>137.19999999999999</v>
      </c>
      <c r="BB6">
        <v>137.19999999999999</v>
      </c>
      <c r="BC6">
        <v>137.69999999999999</v>
      </c>
      <c r="BD6">
        <v>138.19999999999999</v>
      </c>
      <c r="BE6">
        <v>138.6</v>
      </c>
      <c r="BF6">
        <v>139</v>
      </c>
      <c r="BG6">
        <v>139.4</v>
      </c>
      <c r="BH6">
        <v>140.19999999999999</v>
      </c>
      <c r="BI6">
        <v>141.5</v>
      </c>
      <c r="BJ6">
        <v>141.5</v>
      </c>
      <c r="BK6">
        <v>141.9</v>
      </c>
      <c r="BL6">
        <v>142</v>
      </c>
      <c r="BM6">
        <v>141.5</v>
      </c>
      <c r="BN6">
        <v>142</v>
      </c>
      <c r="BO6">
        <v>142.4</v>
      </c>
      <c r="BP6">
        <v>142.9</v>
      </c>
      <c r="BQ6">
        <v>143.19999999999999</v>
      </c>
      <c r="BR6">
        <v>143.4</v>
      </c>
      <c r="BS6">
        <v>143.5</v>
      </c>
      <c r="BT6">
        <v>143.69999999999999</v>
      </c>
      <c r="BU6">
        <v>141.9</v>
      </c>
      <c r="BV6">
        <v>141.9</v>
      </c>
      <c r="BW6">
        <v>142.4</v>
      </c>
      <c r="BX6">
        <v>142.4</v>
      </c>
      <c r="BY6">
        <v>142.5</v>
      </c>
      <c r="BZ6">
        <v>142.5</v>
      </c>
      <c r="CA6">
        <v>142.6</v>
      </c>
      <c r="CB6">
        <v>143.19999999999999</v>
      </c>
      <c r="CC6">
        <v>143.9</v>
      </c>
      <c r="CD6">
        <v>144.6</v>
      </c>
      <c r="CE6">
        <v>145.69999999999999</v>
      </c>
      <c r="CF6">
        <v>146.5</v>
      </c>
      <c r="CG6">
        <v>147.1</v>
      </c>
      <c r="CH6">
        <v>148.69999999999999</v>
      </c>
      <c r="CI6">
        <v>150.5</v>
      </c>
      <c r="CJ6">
        <v>150.9</v>
      </c>
      <c r="CK6">
        <v>151.69999999999999</v>
      </c>
      <c r="CL6">
        <v>155.6</v>
      </c>
      <c r="CM6" t="s">
        <v>43</v>
      </c>
      <c r="CN6">
        <v>153.30000000000001</v>
      </c>
      <c r="CO6">
        <v>153.30000000000001</v>
      </c>
      <c r="CP6">
        <v>153.30000000000001</v>
      </c>
      <c r="CQ6">
        <v>153.4</v>
      </c>
      <c r="CR6">
        <v>153.6</v>
      </c>
      <c r="CS6">
        <v>153.80000000000001</v>
      </c>
      <c r="CT6">
        <v>154</v>
      </c>
      <c r="CU6">
        <v>154</v>
      </c>
      <c r="CV6">
        <v>154.4</v>
      </c>
      <c r="CW6">
        <v>154.5</v>
      </c>
      <c r="CX6">
        <v>155</v>
      </c>
      <c r="CY6">
        <v>155.80000000000001</v>
      </c>
      <c r="CZ6">
        <v>156.1</v>
      </c>
      <c r="DA6">
        <v>157.1</v>
      </c>
      <c r="DB6">
        <v>157.5</v>
      </c>
      <c r="DC6">
        <v>158</v>
      </c>
      <c r="DD6">
        <v>158.4</v>
      </c>
      <c r="DE6">
        <v>159.1</v>
      </c>
      <c r="DF6">
        <v>159.80000000000001</v>
      </c>
      <c r="DG6">
        <v>160.5</v>
      </c>
      <c r="DH6">
        <v>160.69999999999999</v>
      </c>
      <c r="DI6">
        <v>162</v>
      </c>
      <c r="DJ6">
        <v>163.80000000000001</v>
      </c>
      <c r="DK6">
        <v>164.6</v>
      </c>
      <c r="DL6">
        <v>165.4</v>
      </c>
      <c r="DM6">
        <v>166.3</v>
      </c>
      <c r="DN6">
        <v>167.9</v>
      </c>
      <c r="DO6">
        <v>169.5</v>
      </c>
      <c r="DP6">
        <v>170.9</v>
      </c>
      <c r="DQ6">
        <v>172.3</v>
      </c>
      <c r="DR6">
        <v>173.4</v>
      </c>
      <c r="DS6">
        <v>174.3</v>
      </c>
      <c r="DT6">
        <v>177</v>
      </c>
      <c r="DU6">
        <v>177</v>
      </c>
      <c r="DV6">
        <v>178.2</v>
      </c>
      <c r="DW6">
        <v>179.6</v>
      </c>
    </row>
    <row r="7" spans="1:127" x14ac:dyDescent="0.3">
      <c r="A7" t="s">
        <v>33</v>
      </c>
      <c r="B7" t="str">
        <f>VLOOKUP(C7,'Broader Categories'!$A$1:$B$28,2,FALSE)</f>
        <v>Food</v>
      </c>
      <c r="C7" t="s">
        <v>7</v>
      </c>
      <c r="D7">
        <v>106.1</v>
      </c>
      <c r="E7">
        <v>106.7</v>
      </c>
      <c r="F7">
        <v>106.2</v>
      </c>
      <c r="G7">
        <v>105.7</v>
      </c>
      <c r="H7">
        <v>105.3</v>
      </c>
      <c r="I7">
        <v>105.9</v>
      </c>
      <c r="J7">
        <v>106.2</v>
      </c>
      <c r="K7">
        <v>106.4</v>
      </c>
      <c r="L7">
        <v>107.4</v>
      </c>
      <c r="M7">
        <v>107.7</v>
      </c>
      <c r="N7">
        <v>108.9</v>
      </c>
      <c r="O7">
        <v>109.5</v>
      </c>
      <c r="P7">
        <v>109</v>
      </c>
      <c r="Q7">
        <v>109</v>
      </c>
      <c r="R7">
        <v>109.3</v>
      </c>
      <c r="S7">
        <v>109.7</v>
      </c>
      <c r="T7">
        <v>110.1</v>
      </c>
      <c r="U7">
        <v>110.3</v>
      </c>
      <c r="V7">
        <v>110.4</v>
      </c>
      <c r="W7">
        <v>110.6</v>
      </c>
      <c r="X7">
        <v>110.4</v>
      </c>
      <c r="Y7">
        <v>110.5</v>
      </c>
      <c r="Z7">
        <v>110.5</v>
      </c>
      <c r="AA7">
        <v>110.2</v>
      </c>
      <c r="AB7">
        <v>111</v>
      </c>
      <c r="AC7">
        <v>111.5</v>
      </c>
      <c r="AD7">
        <v>111.8</v>
      </c>
      <c r="AE7">
        <v>111.9</v>
      </c>
      <c r="AF7">
        <v>112.5</v>
      </c>
      <c r="AG7">
        <v>114.1</v>
      </c>
      <c r="AH7">
        <v>113.5</v>
      </c>
      <c r="AI7">
        <v>114</v>
      </c>
      <c r="AJ7">
        <v>114.7</v>
      </c>
      <c r="AK7">
        <v>115.8</v>
      </c>
      <c r="AL7">
        <v>117.8</v>
      </c>
      <c r="AM7">
        <v>118.3</v>
      </c>
      <c r="AN7">
        <v>118.9</v>
      </c>
      <c r="AO7">
        <v>118.5</v>
      </c>
      <c r="AP7">
        <v>118.3</v>
      </c>
      <c r="AQ7">
        <v>118.2</v>
      </c>
      <c r="AR7">
        <v>118.2</v>
      </c>
      <c r="AS7">
        <v>118.6</v>
      </c>
      <c r="AT7">
        <v>119.5</v>
      </c>
      <c r="AU7">
        <v>119.9</v>
      </c>
      <c r="AV7">
        <v>120.2</v>
      </c>
      <c r="AW7">
        <v>120.8</v>
      </c>
      <c r="AX7">
        <v>121.1</v>
      </c>
      <c r="AY7">
        <v>121.6</v>
      </c>
      <c r="AZ7">
        <v>122</v>
      </c>
      <c r="BA7">
        <v>122.1</v>
      </c>
      <c r="BB7">
        <v>121.6</v>
      </c>
      <c r="BC7">
        <v>121.3</v>
      </c>
      <c r="BD7">
        <v>120.8</v>
      </c>
      <c r="BE7">
        <v>120.9</v>
      </c>
      <c r="BF7">
        <v>120.9</v>
      </c>
      <c r="BG7">
        <v>120.5</v>
      </c>
      <c r="BH7">
        <v>120.7</v>
      </c>
      <c r="BI7">
        <v>121.4</v>
      </c>
      <c r="BJ7">
        <v>121.6</v>
      </c>
      <c r="BK7">
        <v>123.1</v>
      </c>
      <c r="BL7">
        <v>123.2</v>
      </c>
      <c r="BM7">
        <v>122.9</v>
      </c>
      <c r="BN7">
        <v>123.2</v>
      </c>
      <c r="BO7">
        <v>123.5</v>
      </c>
      <c r="BP7">
        <v>123.6</v>
      </c>
      <c r="BQ7">
        <v>124</v>
      </c>
      <c r="BR7">
        <v>124.1</v>
      </c>
      <c r="BS7">
        <v>125</v>
      </c>
      <c r="BT7">
        <v>124.6</v>
      </c>
      <c r="BU7">
        <v>123.5</v>
      </c>
      <c r="BV7">
        <v>122.8</v>
      </c>
      <c r="BW7">
        <v>124.2</v>
      </c>
      <c r="BX7">
        <v>123.9</v>
      </c>
      <c r="BY7">
        <v>124.1</v>
      </c>
      <c r="BZ7">
        <v>124.1</v>
      </c>
      <c r="CA7">
        <v>124</v>
      </c>
      <c r="CB7">
        <v>124.3</v>
      </c>
      <c r="CC7">
        <v>124.4</v>
      </c>
      <c r="CD7">
        <v>124.7</v>
      </c>
      <c r="CE7">
        <v>125.1</v>
      </c>
      <c r="CF7">
        <v>125.6</v>
      </c>
      <c r="CG7">
        <v>126</v>
      </c>
      <c r="CH7">
        <v>127.5</v>
      </c>
      <c r="CI7">
        <v>132</v>
      </c>
      <c r="CJ7">
        <v>133.69999999999999</v>
      </c>
      <c r="CK7">
        <v>133.30000000000001</v>
      </c>
      <c r="CL7">
        <v>137.1</v>
      </c>
      <c r="CM7" t="s">
        <v>43</v>
      </c>
      <c r="CN7">
        <v>138.19999999999999</v>
      </c>
      <c r="CO7">
        <v>138.19999999999999</v>
      </c>
      <c r="CP7">
        <v>139.80000000000001</v>
      </c>
      <c r="CQ7">
        <v>140.4</v>
      </c>
      <c r="CR7">
        <v>142.6</v>
      </c>
      <c r="CS7">
        <v>145.4</v>
      </c>
      <c r="CT7">
        <v>150</v>
      </c>
      <c r="CU7">
        <v>154.80000000000001</v>
      </c>
      <c r="CV7">
        <v>163</v>
      </c>
      <c r="CW7">
        <v>168.2</v>
      </c>
      <c r="CX7">
        <v>175.2</v>
      </c>
      <c r="CY7">
        <v>184.4</v>
      </c>
      <c r="CZ7">
        <v>190.4</v>
      </c>
      <c r="DA7">
        <v>188.7</v>
      </c>
      <c r="DB7">
        <v>190.9</v>
      </c>
      <c r="DC7">
        <v>195.5</v>
      </c>
      <c r="DD7">
        <v>198.8</v>
      </c>
      <c r="DE7">
        <v>198.4</v>
      </c>
      <c r="DF7">
        <v>195.8</v>
      </c>
      <c r="DG7">
        <v>192.6</v>
      </c>
      <c r="DH7">
        <v>192.6</v>
      </c>
      <c r="DI7">
        <v>203.1</v>
      </c>
      <c r="DJ7">
        <v>207.4</v>
      </c>
      <c r="DK7">
        <v>209.9</v>
      </c>
      <c r="DL7">
        <v>208.1</v>
      </c>
      <c r="DM7">
        <v>202.2</v>
      </c>
      <c r="DN7">
        <v>198.1</v>
      </c>
      <c r="DO7">
        <v>194.1</v>
      </c>
      <c r="DP7">
        <v>191.6</v>
      </c>
      <c r="DQ7">
        <v>194</v>
      </c>
      <c r="DR7">
        <v>193.9</v>
      </c>
      <c r="DS7">
        <v>192.6</v>
      </c>
      <c r="DT7">
        <v>183.4</v>
      </c>
      <c r="DU7">
        <v>183.3</v>
      </c>
      <c r="DV7">
        <v>178.5</v>
      </c>
      <c r="DW7">
        <v>173.3</v>
      </c>
    </row>
    <row r="8" spans="1:127" x14ac:dyDescent="0.3">
      <c r="A8" t="s">
        <v>33</v>
      </c>
      <c r="B8" t="str">
        <f>VLOOKUP(C8,'Broader Categories'!$A$1:$B$28,2,FALSE)</f>
        <v>Food</v>
      </c>
      <c r="C8" t="s">
        <v>8</v>
      </c>
      <c r="D8">
        <v>103.9</v>
      </c>
      <c r="E8">
        <v>104</v>
      </c>
      <c r="F8">
        <v>105.7</v>
      </c>
      <c r="G8">
        <v>108.3</v>
      </c>
      <c r="H8">
        <v>108.1</v>
      </c>
      <c r="I8">
        <v>109.2</v>
      </c>
      <c r="J8">
        <v>110.3</v>
      </c>
      <c r="K8">
        <v>110.8</v>
      </c>
      <c r="L8">
        <v>110.9</v>
      </c>
      <c r="M8">
        <v>113.2</v>
      </c>
      <c r="N8">
        <v>116.6</v>
      </c>
      <c r="O8">
        <v>115.5</v>
      </c>
      <c r="P8">
        <v>115.5</v>
      </c>
      <c r="Q8">
        <v>116.6</v>
      </c>
      <c r="R8">
        <v>119.6</v>
      </c>
      <c r="S8">
        <v>125.5</v>
      </c>
      <c r="T8">
        <v>126.3</v>
      </c>
      <c r="U8">
        <v>125.8</v>
      </c>
      <c r="V8">
        <v>129.1</v>
      </c>
      <c r="W8">
        <v>129.69999999999999</v>
      </c>
      <c r="X8">
        <v>129.80000000000001</v>
      </c>
      <c r="Y8">
        <v>128.9</v>
      </c>
      <c r="Z8">
        <v>128.80000000000001</v>
      </c>
      <c r="AA8">
        <v>128.6</v>
      </c>
      <c r="AB8">
        <v>130.4</v>
      </c>
      <c r="AC8">
        <v>129.4</v>
      </c>
      <c r="AD8">
        <v>130.9</v>
      </c>
      <c r="AE8">
        <v>134.19999999999999</v>
      </c>
      <c r="AF8">
        <v>134.1</v>
      </c>
      <c r="AG8">
        <v>133.19999999999999</v>
      </c>
      <c r="AH8">
        <v>133.30000000000001</v>
      </c>
      <c r="AI8">
        <v>134.19999999999999</v>
      </c>
      <c r="AJ8">
        <v>132.30000000000001</v>
      </c>
      <c r="AK8">
        <v>133.19999999999999</v>
      </c>
      <c r="AL8">
        <v>132.1</v>
      </c>
      <c r="AM8">
        <v>131.6</v>
      </c>
      <c r="AN8">
        <v>131.6</v>
      </c>
      <c r="AO8">
        <v>130.4</v>
      </c>
      <c r="AP8">
        <v>131.69999999999999</v>
      </c>
      <c r="AQ8">
        <v>138.1</v>
      </c>
      <c r="AR8">
        <v>138.1</v>
      </c>
      <c r="AS8">
        <v>137.4</v>
      </c>
      <c r="AT8">
        <v>138.5</v>
      </c>
      <c r="AU8">
        <v>140.19999999999999</v>
      </c>
      <c r="AV8">
        <v>139.19999999999999</v>
      </c>
      <c r="AW8">
        <v>138.4</v>
      </c>
      <c r="AX8">
        <v>136.9</v>
      </c>
      <c r="AY8">
        <v>135.6</v>
      </c>
      <c r="AZ8">
        <v>136</v>
      </c>
      <c r="BA8">
        <v>138.69999999999999</v>
      </c>
      <c r="BB8">
        <v>139.69999999999999</v>
      </c>
      <c r="BC8">
        <v>141.80000000000001</v>
      </c>
      <c r="BD8">
        <v>140.19999999999999</v>
      </c>
      <c r="BE8">
        <v>140.9</v>
      </c>
      <c r="BF8">
        <v>143.9</v>
      </c>
      <c r="BG8">
        <v>148</v>
      </c>
      <c r="BH8">
        <v>147.80000000000001</v>
      </c>
      <c r="BI8">
        <v>146.69999999999999</v>
      </c>
      <c r="BJ8">
        <v>147.30000000000001</v>
      </c>
      <c r="BK8">
        <v>147.19999999999999</v>
      </c>
      <c r="BL8">
        <v>147.9</v>
      </c>
      <c r="BM8">
        <v>149.4</v>
      </c>
      <c r="BN8">
        <v>152.9</v>
      </c>
      <c r="BO8">
        <v>156.4</v>
      </c>
      <c r="BP8">
        <v>157.5</v>
      </c>
      <c r="BQ8">
        <v>154.1</v>
      </c>
      <c r="BR8">
        <v>153.30000000000001</v>
      </c>
      <c r="BS8">
        <v>154.4</v>
      </c>
      <c r="BT8">
        <v>150.1</v>
      </c>
      <c r="BU8">
        <v>144.5</v>
      </c>
      <c r="BV8">
        <v>143.9</v>
      </c>
      <c r="BW8">
        <v>140.19999999999999</v>
      </c>
      <c r="BX8">
        <v>135.5</v>
      </c>
      <c r="BY8">
        <v>135.80000000000001</v>
      </c>
      <c r="BZ8">
        <v>136.1</v>
      </c>
      <c r="CA8">
        <v>143.69999999999999</v>
      </c>
      <c r="CB8">
        <v>143.30000000000001</v>
      </c>
      <c r="CC8">
        <v>146.4</v>
      </c>
      <c r="CD8">
        <v>145.5</v>
      </c>
      <c r="CE8">
        <v>143.80000000000001</v>
      </c>
      <c r="CF8">
        <v>145.69999999999999</v>
      </c>
      <c r="CG8">
        <v>146.19999999999999</v>
      </c>
      <c r="CH8">
        <v>144.30000000000001</v>
      </c>
      <c r="CI8">
        <v>142.19999999999999</v>
      </c>
      <c r="CJ8">
        <v>140.69999999999999</v>
      </c>
      <c r="CK8">
        <v>141.80000000000001</v>
      </c>
      <c r="CL8">
        <v>147.30000000000001</v>
      </c>
      <c r="CM8" t="s">
        <v>43</v>
      </c>
      <c r="CN8">
        <v>143.19999999999999</v>
      </c>
      <c r="CO8">
        <v>143.19999999999999</v>
      </c>
      <c r="CP8">
        <v>146.9</v>
      </c>
      <c r="CQ8">
        <v>147</v>
      </c>
      <c r="CR8">
        <v>147.19999999999999</v>
      </c>
      <c r="CS8">
        <v>146.5</v>
      </c>
      <c r="CT8">
        <v>145.9</v>
      </c>
      <c r="CU8">
        <v>147</v>
      </c>
      <c r="CV8">
        <v>147.80000000000001</v>
      </c>
      <c r="CW8">
        <v>150.5</v>
      </c>
      <c r="CX8">
        <v>160.6</v>
      </c>
      <c r="CY8">
        <v>162.30000000000001</v>
      </c>
      <c r="CZ8">
        <v>158.6</v>
      </c>
      <c r="DA8">
        <v>157.69999999999999</v>
      </c>
      <c r="DB8">
        <v>155.69999999999999</v>
      </c>
      <c r="DC8">
        <v>152.69999999999999</v>
      </c>
      <c r="DD8">
        <v>152.6</v>
      </c>
      <c r="DE8">
        <v>153.19999999999999</v>
      </c>
      <c r="DF8">
        <v>152</v>
      </c>
      <c r="DG8">
        <v>151.19999999999999</v>
      </c>
      <c r="DH8">
        <v>151.4</v>
      </c>
      <c r="DI8">
        <v>155.9</v>
      </c>
      <c r="DJ8">
        <v>169.7</v>
      </c>
      <c r="DK8">
        <v>168</v>
      </c>
      <c r="DL8">
        <v>165.8</v>
      </c>
      <c r="DM8">
        <v>169.6</v>
      </c>
      <c r="DN8">
        <v>169.2</v>
      </c>
      <c r="DO8">
        <v>164.1</v>
      </c>
      <c r="DP8">
        <v>162.19999999999999</v>
      </c>
      <c r="DQ8">
        <v>159.1</v>
      </c>
      <c r="DR8">
        <v>156.69999999999999</v>
      </c>
      <c r="DS8">
        <v>156.30000000000001</v>
      </c>
      <c r="DT8">
        <v>167.2</v>
      </c>
      <c r="DU8">
        <v>167.2</v>
      </c>
      <c r="DV8">
        <v>173.7</v>
      </c>
      <c r="DW8">
        <v>169</v>
      </c>
    </row>
    <row r="9" spans="1:127" x14ac:dyDescent="0.3">
      <c r="A9" t="s">
        <v>33</v>
      </c>
      <c r="B9" t="str">
        <f>VLOOKUP(C9,'Broader Categories'!$A$1:$B$28,2,FALSE)</f>
        <v>Food</v>
      </c>
      <c r="C9" t="s">
        <v>9</v>
      </c>
      <c r="D9">
        <v>101.9</v>
      </c>
      <c r="E9">
        <v>102.4</v>
      </c>
      <c r="F9">
        <v>101.4</v>
      </c>
      <c r="G9">
        <v>103.4</v>
      </c>
      <c r="H9">
        <v>107.3</v>
      </c>
      <c r="I9">
        <v>118</v>
      </c>
      <c r="J9">
        <v>129.19999999999999</v>
      </c>
      <c r="K9">
        <v>138.9</v>
      </c>
      <c r="L9">
        <v>154</v>
      </c>
      <c r="M9">
        <v>164.9</v>
      </c>
      <c r="N9">
        <v>178.1</v>
      </c>
      <c r="O9">
        <v>145.69999999999999</v>
      </c>
      <c r="P9">
        <v>123.9</v>
      </c>
      <c r="Q9">
        <v>116</v>
      </c>
      <c r="R9">
        <v>117.9</v>
      </c>
      <c r="S9">
        <v>120.5</v>
      </c>
      <c r="T9">
        <v>123.9</v>
      </c>
      <c r="U9">
        <v>129.30000000000001</v>
      </c>
      <c r="V9">
        <v>150.1</v>
      </c>
      <c r="W9">
        <v>161.1</v>
      </c>
      <c r="X9">
        <v>158.80000000000001</v>
      </c>
      <c r="Y9">
        <v>155.30000000000001</v>
      </c>
      <c r="Z9">
        <v>152</v>
      </c>
      <c r="AA9">
        <v>140.30000000000001</v>
      </c>
      <c r="AB9">
        <v>132.30000000000001</v>
      </c>
      <c r="AC9">
        <v>128.19999999999999</v>
      </c>
      <c r="AD9">
        <v>128</v>
      </c>
      <c r="AE9">
        <v>127.5</v>
      </c>
      <c r="AF9">
        <v>128.5</v>
      </c>
      <c r="AG9">
        <v>135.19999999999999</v>
      </c>
      <c r="AH9">
        <v>140.80000000000001</v>
      </c>
      <c r="AI9">
        <v>153.6</v>
      </c>
      <c r="AJ9">
        <v>158.9</v>
      </c>
      <c r="AK9">
        <v>157.69999999999999</v>
      </c>
      <c r="AL9">
        <v>155.19999999999999</v>
      </c>
      <c r="AM9">
        <v>145.5</v>
      </c>
      <c r="AN9">
        <v>140.1</v>
      </c>
      <c r="AO9">
        <v>130.9</v>
      </c>
      <c r="AP9">
        <v>130.69999999999999</v>
      </c>
      <c r="AQ9">
        <v>134.1</v>
      </c>
      <c r="AR9">
        <v>141.80000000000001</v>
      </c>
      <c r="AS9">
        <v>152.5</v>
      </c>
      <c r="AT9">
        <v>158.19999999999999</v>
      </c>
      <c r="AU9">
        <v>156.9</v>
      </c>
      <c r="AV9">
        <v>149.5</v>
      </c>
      <c r="AW9">
        <v>149.19999999999999</v>
      </c>
      <c r="AX9">
        <v>141.80000000000001</v>
      </c>
      <c r="AY9">
        <v>127.5</v>
      </c>
      <c r="AZ9">
        <v>119.8</v>
      </c>
      <c r="BA9">
        <v>119.1</v>
      </c>
      <c r="BB9">
        <v>119.7</v>
      </c>
      <c r="BC9">
        <v>121.5</v>
      </c>
      <c r="BD9">
        <v>123.8</v>
      </c>
      <c r="BE9">
        <v>128.80000000000001</v>
      </c>
      <c r="BF9">
        <v>151.5</v>
      </c>
      <c r="BG9">
        <v>162.9</v>
      </c>
      <c r="BH9">
        <v>154.5</v>
      </c>
      <c r="BI9">
        <v>157.1</v>
      </c>
      <c r="BJ9">
        <v>168</v>
      </c>
      <c r="BK9">
        <v>161</v>
      </c>
      <c r="BL9">
        <v>152.1</v>
      </c>
      <c r="BM9">
        <v>142.4</v>
      </c>
      <c r="BN9">
        <v>138</v>
      </c>
      <c r="BO9">
        <v>135.1</v>
      </c>
      <c r="BP9">
        <v>137.80000000000001</v>
      </c>
      <c r="BQ9">
        <v>143.5</v>
      </c>
      <c r="BR9">
        <v>154.19999999999999</v>
      </c>
      <c r="BS9">
        <v>156.30000000000001</v>
      </c>
      <c r="BT9">
        <v>149.4</v>
      </c>
      <c r="BU9">
        <v>147.6</v>
      </c>
      <c r="BV9">
        <v>147.5</v>
      </c>
      <c r="BW9">
        <v>136.6</v>
      </c>
      <c r="BX9">
        <v>131.69999999999999</v>
      </c>
      <c r="BY9">
        <v>128.69999999999999</v>
      </c>
      <c r="BZ9">
        <v>128.19999999999999</v>
      </c>
      <c r="CA9">
        <v>133.4</v>
      </c>
      <c r="CB9">
        <v>140.6</v>
      </c>
      <c r="CC9">
        <v>150.1</v>
      </c>
      <c r="CD9">
        <v>156.19999999999999</v>
      </c>
      <c r="CE9">
        <v>163.4</v>
      </c>
      <c r="CF9">
        <v>178.8</v>
      </c>
      <c r="CG9">
        <v>191.4</v>
      </c>
      <c r="CH9">
        <v>209.5</v>
      </c>
      <c r="CI9">
        <v>191.5</v>
      </c>
      <c r="CJ9">
        <v>165.1</v>
      </c>
      <c r="CK9">
        <v>152.30000000000001</v>
      </c>
      <c r="CL9">
        <v>162.69999999999999</v>
      </c>
      <c r="CM9" t="s">
        <v>43</v>
      </c>
      <c r="CN9">
        <v>148.9</v>
      </c>
      <c r="CO9">
        <v>148.9</v>
      </c>
      <c r="CP9">
        <v>171</v>
      </c>
      <c r="CQ9">
        <v>178.8</v>
      </c>
      <c r="CR9">
        <v>200.6</v>
      </c>
      <c r="CS9">
        <v>222.2</v>
      </c>
      <c r="CT9">
        <v>225.2</v>
      </c>
      <c r="CU9">
        <v>187.8</v>
      </c>
      <c r="CV9">
        <v>149.69999999999999</v>
      </c>
      <c r="CW9">
        <v>141</v>
      </c>
      <c r="CX9">
        <v>135.1</v>
      </c>
      <c r="CY9">
        <v>138.4</v>
      </c>
      <c r="CZ9">
        <v>144.69999999999999</v>
      </c>
      <c r="DA9">
        <v>152.80000000000001</v>
      </c>
      <c r="DB9">
        <v>153.9</v>
      </c>
      <c r="DC9">
        <v>151.4</v>
      </c>
      <c r="DD9">
        <v>170.4</v>
      </c>
      <c r="DE9">
        <v>183.9</v>
      </c>
      <c r="DF9">
        <v>172.3</v>
      </c>
      <c r="DG9">
        <v>159.19999999999999</v>
      </c>
      <c r="DH9">
        <v>155.19999999999999</v>
      </c>
      <c r="DI9">
        <v>155.80000000000001</v>
      </c>
      <c r="DJ9">
        <v>153.6</v>
      </c>
      <c r="DK9">
        <v>160.4</v>
      </c>
      <c r="DL9">
        <v>167.3</v>
      </c>
      <c r="DM9">
        <v>168.6</v>
      </c>
      <c r="DN9">
        <v>173.1</v>
      </c>
      <c r="DO9">
        <v>176.9</v>
      </c>
      <c r="DP9">
        <v>184.8</v>
      </c>
      <c r="DQ9">
        <v>171.6</v>
      </c>
      <c r="DR9">
        <v>150.19999999999999</v>
      </c>
      <c r="DS9">
        <v>142.9</v>
      </c>
      <c r="DT9">
        <v>140.9</v>
      </c>
      <c r="DU9">
        <v>140.9</v>
      </c>
      <c r="DV9">
        <v>142.80000000000001</v>
      </c>
      <c r="DW9">
        <v>148.69999999999999</v>
      </c>
    </row>
    <row r="10" spans="1:127" x14ac:dyDescent="0.3">
      <c r="A10" t="s">
        <v>33</v>
      </c>
      <c r="B10" t="str">
        <f>VLOOKUP(C10,'Broader Categories'!$A$1:$B$28,2,FALSE)</f>
        <v>Food</v>
      </c>
      <c r="C10" t="s">
        <v>10</v>
      </c>
      <c r="D10">
        <v>106.1</v>
      </c>
      <c r="E10">
        <v>105.9</v>
      </c>
      <c r="F10">
        <v>105.7</v>
      </c>
      <c r="G10">
        <v>105.7</v>
      </c>
      <c r="H10">
        <v>106.1</v>
      </c>
      <c r="I10">
        <v>106.8</v>
      </c>
      <c r="J10">
        <v>107.1</v>
      </c>
      <c r="K10">
        <v>107.4</v>
      </c>
      <c r="L10">
        <v>108.1</v>
      </c>
      <c r="M10">
        <v>108.3</v>
      </c>
      <c r="N10">
        <v>109.1</v>
      </c>
      <c r="O10">
        <v>109.5</v>
      </c>
      <c r="P10">
        <v>109.6</v>
      </c>
      <c r="Q10">
        <v>109.8</v>
      </c>
      <c r="R10">
        <v>110.2</v>
      </c>
      <c r="S10">
        <v>111</v>
      </c>
      <c r="T10">
        <v>111.5</v>
      </c>
      <c r="U10">
        <v>112.2</v>
      </c>
      <c r="V10">
        <v>113.2</v>
      </c>
      <c r="W10">
        <v>114.1</v>
      </c>
      <c r="X10">
        <v>115</v>
      </c>
      <c r="Y10">
        <v>115.5</v>
      </c>
      <c r="Z10">
        <v>116.2</v>
      </c>
      <c r="AA10">
        <v>116.3</v>
      </c>
      <c r="AB10">
        <v>117.2</v>
      </c>
      <c r="AC10">
        <v>118.8</v>
      </c>
      <c r="AD10">
        <v>119.9</v>
      </c>
      <c r="AE10">
        <v>121.5</v>
      </c>
      <c r="AF10">
        <v>124.3</v>
      </c>
      <c r="AG10">
        <v>131.9</v>
      </c>
      <c r="AH10">
        <v>133.80000000000001</v>
      </c>
      <c r="AI10">
        <v>137.9</v>
      </c>
      <c r="AJ10">
        <v>142.1</v>
      </c>
      <c r="AK10">
        <v>154.19999999999999</v>
      </c>
      <c r="AL10">
        <v>160.80000000000001</v>
      </c>
      <c r="AM10">
        <v>162.1</v>
      </c>
      <c r="AN10">
        <v>163.80000000000001</v>
      </c>
      <c r="AO10">
        <v>162.80000000000001</v>
      </c>
      <c r="AP10">
        <v>161.19999999999999</v>
      </c>
      <c r="AQ10">
        <v>162.69999999999999</v>
      </c>
      <c r="AR10">
        <v>166</v>
      </c>
      <c r="AS10">
        <v>169.2</v>
      </c>
      <c r="AT10">
        <v>171.8</v>
      </c>
      <c r="AU10">
        <v>172.2</v>
      </c>
      <c r="AV10">
        <v>170.4</v>
      </c>
      <c r="AW10">
        <v>170.2</v>
      </c>
      <c r="AX10">
        <v>170</v>
      </c>
      <c r="AY10">
        <v>167.9</v>
      </c>
      <c r="AZ10">
        <v>161.69999999999999</v>
      </c>
      <c r="BA10">
        <v>156.9</v>
      </c>
      <c r="BB10">
        <v>148</v>
      </c>
      <c r="BC10">
        <v>144.5</v>
      </c>
      <c r="BD10">
        <v>141.80000000000001</v>
      </c>
      <c r="BE10">
        <v>140.19999999999999</v>
      </c>
      <c r="BF10">
        <v>138.1</v>
      </c>
      <c r="BG10">
        <v>137.4</v>
      </c>
      <c r="BH10">
        <v>137.1</v>
      </c>
      <c r="BI10">
        <v>136.4</v>
      </c>
      <c r="BJ10">
        <v>135.80000000000001</v>
      </c>
      <c r="BK10">
        <v>133.80000000000001</v>
      </c>
      <c r="BL10">
        <v>131.80000000000001</v>
      </c>
      <c r="BM10">
        <v>130.19999999999999</v>
      </c>
      <c r="BN10">
        <v>129.30000000000001</v>
      </c>
      <c r="BO10">
        <v>128.4</v>
      </c>
      <c r="BP10">
        <v>127.2</v>
      </c>
      <c r="BQ10">
        <v>126</v>
      </c>
      <c r="BR10">
        <v>126.4</v>
      </c>
      <c r="BS10">
        <v>126.8</v>
      </c>
      <c r="BT10">
        <v>125.4</v>
      </c>
      <c r="BU10">
        <v>121.4</v>
      </c>
      <c r="BV10">
        <v>121</v>
      </c>
      <c r="BW10">
        <v>120.9</v>
      </c>
      <c r="BX10">
        <v>121.3</v>
      </c>
      <c r="BY10">
        <v>121.5</v>
      </c>
      <c r="BZ10">
        <v>122.3</v>
      </c>
      <c r="CA10">
        <v>125.1</v>
      </c>
      <c r="CB10">
        <v>128.69999999999999</v>
      </c>
      <c r="CC10">
        <v>130.6</v>
      </c>
      <c r="CD10">
        <v>131.5</v>
      </c>
      <c r="CE10">
        <v>132.19999999999999</v>
      </c>
      <c r="CF10">
        <v>133.1</v>
      </c>
      <c r="CG10">
        <v>136.19999999999999</v>
      </c>
      <c r="CH10">
        <v>138.80000000000001</v>
      </c>
      <c r="CI10">
        <v>141.1</v>
      </c>
      <c r="CJ10">
        <v>141.80000000000001</v>
      </c>
      <c r="CK10">
        <v>141.80000000000001</v>
      </c>
      <c r="CL10">
        <v>150.19999999999999</v>
      </c>
      <c r="CM10" t="s">
        <v>43</v>
      </c>
      <c r="CN10">
        <v>150.30000000000001</v>
      </c>
      <c r="CO10">
        <v>150.30000000000001</v>
      </c>
      <c r="CP10">
        <v>149.9</v>
      </c>
      <c r="CQ10">
        <v>149.30000000000001</v>
      </c>
      <c r="CR10">
        <v>150.30000000000001</v>
      </c>
      <c r="CS10">
        <v>155.9</v>
      </c>
      <c r="CT10">
        <v>159.5</v>
      </c>
      <c r="CU10">
        <v>159.5</v>
      </c>
      <c r="CV10">
        <v>158.30000000000001</v>
      </c>
      <c r="CW10">
        <v>159.19999999999999</v>
      </c>
      <c r="CX10">
        <v>161.1</v>
      </c>
      <c r="CY10">
        <v>165.1</v>
      </c>
      <c r="CZ10">
        <v>165.5</v>
      </c>
      <c r="DA10">
        <v>163.6</v>
      </c>
      <c r="DB10">
        <v>162.80000000000001</v>
      </c>
      <c r="DC10">
        <v>163.9</v>
      </c>
      <c r="DD10">
        <v>165.2</v>
      </c>
      <c r="DE10">
        <v>165.4</v>
      </c>
      <c r="DF10">
        <v>164.5</v>
      </c>
      <c r="DG10">
        <v>164</v>
      </c>
      <c r="DH10">
        <v>163.9</v>
      </c>
      <c r="DI10">
        <v>164.2</v>
      </c>
      <c r="DJ10">
        <v>165.1</v>
      </c>
      <c r="DK10">
        <v>165</v>
      </c>
      <c r="DL10">
        <v>164.6</v>
      </c>
      <c r="DM10">
        <v>164.4</v>
      </c>
      <c r="DN10">
        <v>167.1</v>
      </c>
      <c r="DO10">
        <v>169</v>
      </c>
      <c r="DP10">
        <v>169.7</v>
      </c>
      <c r="DQ10">
        <v>170.2</v>
      </c>
      <c r="DR10">
        <v>170.5</v>
      </c>
      <c r="DS10">
        <v>170.7</v>
      </c>
      <c r="DT10">
        <v>170.4</v>
      </c>
      <c r="DU10">
        <v>170.5</v>
      </c>
      <c r="DV10">
        <v>172.8</v>
      </c>
      <c r="DW10">
        <v>174.9</v>
      </c>
    </row>
    <row r="11" spans="1:127" x14ac:dyDescent="0.3">
      <c r="A11" t="s">
        <v>33</v>
      </c>
      <c r="B11" t="str">
        <f>VLOOKUP(C11,'Broader Categories'!$A$1:$B$28,2,FALSE)</f>
        <v>Food</v>
      </c>
      <c r="C11" t="s">
        <v>11</v>
      </c>
      <c r="D11">
        <v>106.8</v>
      </c>
      <c r="E11">
        <v>105.7</v>
      </c>
      <c r="F11">
        <v>105</v>
      </c>
      <c r="G11">
        <v>104.2</v>
      </c>
      <c r="H11">
        <v>103.7</v>
      </c>
      <c r="I11">
        <v>104.1</v>
      </c>
      <c r="J11">
        <v>104.3</v>
      </c>
      <c r="K11">
        <v>104.1</v>
      </c>
      <c r="L11">
        <v>104.2</v>
      </c>
      <c r="M11">
        <v>103.9</v>
      </c>
      <c r="N11">
        <v>103.6</v>
      </c>
      <c r="O11">
        <v>102.9</v>
      </c>
      <c r="P11">
        <v>101.8</v>
      </c>
      <c r="Q11">
        <v>101.1</v>
      </c>
      <c r="R11">
        <v>101.2</v>
      </c>
      <c r="S11">
        <v>102.6</v>
      </c>
      <c r="T11">
        <v>103.5</v>
      </c>
      <c r="U11">
        <v>103.6</v>
      </c>
      <c r="V11">
        <v>104.8</v>
      </c>
      <c r="W11">
        <v>105.1</v>
      </c>
      <c r="X11">
        <v>104.7</v>
      </c>
      <c r="Y11">
        <v>104</v>
      </c>
      <c r="Z11">
        <v>103.3</v>
      </c>
      <c r="AA11">
        <v>102</v>
      </c>
      <c r="AB11">
        <v>100.5</v>
      </c>
      <c r="AC11">
        <v>100</v>
      </c>
      <c r="AD11">
        <v>98.9</v>
      </c>
      <c r="AE11">
        <v>97.8</v>
      </c>
      <c r="AF11">
        <v>97.6</v>
      </c>
      <c r="AG11">
        <v>96.3</v>
      </c>
      <c r="AH11">
        <v>94.1</v>
      </c>
      <c r="AI11">
        <v>93.1</v>
      </c>
      <c r="AJ11">
        <v>92.5</v>
      </c>
      <c r="AK11">
        <v>93.7</v>
      </c>
      <c r="AL11">
        <v>94.5</v>
      </c>
      <c r="AM11">
        <v>95.4</v>
      </c>
      <c r="AN11">
        <v>97.7</v>
      </c>
      <c r="AO11">
        <v>98.7</v>
      </c>
      <c r="AP11">
        <v>100.4</v>
      </c>
      <c r="AQ11">
        <v>105</v>
      </c>
      <c r="AR11">
        <v>107.5</v>
      </c>
      <c r="AS11">
        <v>108.8</v>
      </c>
      <c r="AT11">
        <v>110.3</v>
      </c>
      <c r="AU11">
        <v>112.1</v>
      </c>
      <c r="AV11">
        <v>113.1</v>
      </c>
      <c r="AW11">
        <v>113.4</v>
      </c>
      <c r="AX11">
        <v>113.4</v>
      </c>
      <c r="AY11">
        <v>113.8</v>
      </c>
      <c r="AZ11">
        <v>114.8</v>
      </c>
      <c r="BA11">
        <v>116.2</v>
      </c>
      <c r="BB11">
        <v>116.9</v>
      </c>
      <c r="BC11">
        <v>117.4</v>
      </c>
      <c r="BD11">
        <v>118.6</v>
      </c>
      <c r="BE11">
        <v>118.9</v>
      </c>
      <c r="BF11">
        <v>120</v>
      </c>
      <c r="BG11">
        <v>120.8</v>
      </c>
      <c r="BH11">
        <v>121</v>
      </c>
      <c r="BI11">
        <v>121.4</v>
      </c>
      <c r="BJ11">
        <v>122.5</v>
      </c>
      <c r="BK11">
        <v>121.9</v>
      </c>
      <c r="BL11">
        <v>119.5</v>
      </c>
      <c r="BM11">
        <v>117.9</v>
      </c>
      <c r="BN11">
        <v>117.1</v>
      </c>
      <c r="BO11">
        <v>115.2</v>
      </c>
      <c r="BP11">
        <v>111.8</v>
      </c>
      <c r="BQ11">
        <v>112.4</v>
      </c>
      <c r="BR11">
        <v>114.3</v>
      </c>
      <c r="BS11">
        <v>115.4</v>
      </c>
      <c r="BT11">
        <v>114.4</v>
      </c>
      <c r="BU11">
        <v>112.3</v>
      </c>
      <c r="BV11">
        <v>111.6</v>
      </c>
      <c r="BW11">
        <v>109.9</v>
      </c>
      <c r="BX11">
        <v>108.4</v>
      </c>
      <c r="BY11">
        <v>108.3</v>
      </c>
      <c r="BZ11">
        <v>108.3</v>
      </c>
      <c r="CA11">
        <v>109.3</v>
      </c>
      <c r="CB11">
        <v>110.6</v>
      </c>
      <c r="CC11">
        <v>110.8</v>
      </c>
      <c r="CD11">
        <v>111.7</v>
      </c>
      <c r="CE11">
        <v>112.8</v>
      </c>
      <c r="CF11">
        <v>113.6</v>
      </c>
      <c r="CG11">
        <v>113.8</v>
      </c>
      <c r="CH11">
        <v>113.6</v>
      </c>
      <c r="CI11">
        <v>113.8</v>
      </c>
      <c r="CJ11">
        <v>113.1</v>
      </c>
      <c r="CK11">
        <v>112.6</v>
      </c>
      <c r="CL11">
        <v>119.8</v>
      </c>
      <c r="CM11" t="s">
        <v>43</v>
      </c>
      <c r="CN11">
        <v>113.2</v>
      </c>
      <c r="CO11">
        <v>113.2</v>
      </c>
      <c r="CP11">
        <v>114.2</v>
      </c>
      <c r="CQ11">
        <v>115.1</v>
      </c>
      <c r="CR11">
        <v>115.3</v>
      </c>
      <c r="CS11">
        <v>114.9</v>
      </c>
      <c r="CT11">
        <v>114.4</v>
      </c>
      <c r="CU11">
        <v>113.8</v>
      </c>
      <c r="CV11">
        <v>111.8</v>
      </c>
      <c r="CW11">
        <v>111.7</v>
      </c>
      <c r="CX11">
        <v>112.2</v>
      </c>
      <c r="CY11">
        <v>114.3</v>
      </c>
      <c r="CZ11">
        <v>114.6</v>
      </c>
      <c r="DA11">
        <v>113.9</v>
      </c>
      <c r="DB11">
        <v>115.2</v>
      </c>
      <c r="DC11">
        <v>119.3</v>
      </c>
      <c r="DD11">
        <v>121.6</v>
      </c>
      <c r="DE11">
        <v>122.1</v>
      </c>
      <c r="DF11">
        <v>120.6</v>
      </c>
      <c r="DG11">
        <v>119.3</v>
      </c>
      <c r="DH11">
        <v>118.1</v>
      </c>
      <c r="DI11">
        <v>118.1</v>
      </c>
      <c r="DJ11">
        <v>118.2</v>
      </c>
      <c r="DK11">
        <v>118.9</v>
      </c>
      <c r="DL11">
        <v>119.1</v>
      </c>
      <c r="DM11">
        <v>119.2</v>
      </c>
      <c r="DN11">
        <v>120.2</v>
      </c>
      <c r="DO11">
        <v>120.8</v>
      </c>
      <c r="DP11">
        <v>121.1</v>
      </c>
      <c r="DQ11">
        <v>121.5</v>
      </c>
      <c r="DR11">
        <v>121.2</v>
      </c>
      <c r="DS11">
        <v>120.3</v>
      </c>
      <c r="DT11">
        <v>119.1</v>
      </c>
      <c r="DU11">
        <v>119.1</v>
      </c>
      <c r="DV11">
        <v>120.4</v>
      </c>
      <c r="DW11">
        <v>121.9</v>
      </c>
    </row>
    <row r="12" spans="1:127" x14ac:dyDescent="0.3">
      <c r="A12" t="s">
        <v>33</v>
      </c>
      <c r="B12" t="str">
        <f>VLOOKUP(C12,'Broader Categories'!$A$1:$B$28,2,FALSE)</f>
        <v>Food</v>
      </c>
      <c r="C12" t="s">
        <v>12</v>
      </c>
      <c r="D12">
        <v>103.1</v>
      </c>
      <c r="E12">
        <v>103.1</v>
      </c>
      <c r="F12">
        <v>103.3</v>
      </c>
      <c r="G12">
        <v>103.2</v>
      </c>
      <c r="H12">
        <v>104</v>
      </c>
      <c r="I12">
        <v>105.4</v>
      </c>
      <c r="J12">
        <v>106.4</v>
      </c>
      <c r="K12">
        <v>106.9</v>
      </c>
      <c r="L12">
        <v>107.9</v>
      </c>
      <c r="M12">
        <v>108.2</v>
      </c>
      <c r="N12">
        <v>109</v>
      </c>
      <c r="O12">
        <v>109.8</v>
      </c>
      <c r="P12">
        <v>110.2</v>
      </c>
      <c r="Q12">
        <v>110.4</v>
      </c>
      <c r="R12">
        <v>110.7</v>
      </c>
      <c r="S12">
        <v>111.2</v>
      </c>
      <c r="T12">
        <v>111.6</v>
      </c>
      <c r="U12">
        <v>112.3</v>
      </c>
      <c r="V12">
        <v>113.3</v>
      </c>
      <c r="W12">
        <v>114.6</v>
      </c>
      <c r="X12">
        <v>114.9</v>
      </c>
      <c r="Y12">
        <v>115.3</v>
      </c>
      <c r="Z12">
        <v>115.8</v>
      </c>
      <c r="AA12">
        <v>116</v>
      </c>
      <c r="AB12">
        <v>117.2</v>
      </c>
      <c r="AC12">
        <v>118.6</v>
      </c>
      <c r="AD12">
        <v>119.4</v>
      </c>
      <c r="AE12">
        <v>119.8</v>
      </c>
      <c r="AF12">
        <v>120.7</v>
      </c>
      <c r="AG12">
        <v>123</v>
      </c>
      <c r="AH12">
        <v>123.4</v>
      </c>
      <c r="AI12">
        <v>123.9</v>
      </c>
      <c r="AJ12">
        <v>125.4</v>
      </c>
      <c r="AK12">
        <v>126.6</v>
      </c>
      <c r="AL12">
        <v>128.30000000000001</v>
      </c>
      <c r="AM12">
        <v>128.9</v>
      </c>
      <c r="AN12">
        <v>129.6</v>
      </c>
      <c r="AO12">
        <v>130.6</v>
      </c>
      <c r="AP12">
        <v>130.80000000000001</v>
      </c>
      <c r="AQ12">
        <v>131.4</v>
      </c>
      <c r="AR12">
        <v>132.19999999999999</v>
      </c>
      <c r="AS12">
        <v>133.1</v>
      </c>
      <c r="AT12">
        <v>134.30000000000001</v>
      </c>
      <c r="AU12">
        <v>134.9</v>
      </c>
      <c r="AV12">
        <v>135.80000000000001</v>
      </c>
      <c r="AW12">
        <v>136.30000000000001</v>
      </c>
      <c r="AX12">
        <v>136.80000000000001</v>
      </c>
      <c r="AY12">
        <v>137.5</v>
      </c>
      <c r="AZ12">
        <v>136.9</v>
      </c>
      <c r="BA12">
        <v>136</v>
      </c>
      <c r="BB12">
        <v>135.6</v>
      </c>
      <c r="BC12">
        <v>134.1</v>
      </c>
      <c r="BD12">
        <v>134</v>
      </c>
      <c r="BE12">
        <v>133.5</v>
      </c>
      <c r="BF12">
        <v>133.9</v>
      </c>
      <c r="BG12">
        <v>134.69999999999999</v>
      </c>
      <c r="BH12">
        <v>134.69999999999999</v>
      </c>
      <c r="BI12">
        <v>135.6</v>
      </c>
      <c r="BJ12">
        <v>136</v>
      </c>
      <c r="BK12">
        <v>135.80000000000001</v>
      </c>
      <c r="BL12">
        <v>136</v>
      </c>
      <c r="BM12">
        <v>135.6</v>
      </c>
      <c r="BN12">
        <v>136.30000000000001</v>
      </c>
      <c r="BO12">
        <v>137.19999999999999</v>
      </c>
      <c r="BP12">
        <v>137.4</v>
      </c>
      <c r="BQ12">
        <v>137.6</v>
      </c>
      <c r="BR12">
        <v>138.19999999999999</v>
      </c>
      <c r="BS12">
        <v>138.6</v>
      </c>
      <c r="BT12">
        <v>138.69999999999999</v>
      </c>
      <c r="BU12">
        <v>139.5</v>
      </c>
      <c r="BV12">
        <v>140.6</v>
      </c>
      <c r="BW12">
        <v>140.19999999999999</v>
      </c>
      <c r="BX12">
        <v>138.9</v>
      </c>
      <c r="BY12">
        <v>139.19999999999999</v>
      </c>
      <c r="BZ12">
        <v>138.9</v>
      </c>
      <c r="CA12">
        <v>139.30000000000001</v>
      </c>
      <c r="CB12">
        <v>140.4</v>
      </c>
      <c r="CC12">
        <v>141.69999999999999</v>
      </c>
      <c r="CD12">
        <v>142.69999999999999</v>
      </c>
      <c r="CE12">
        <v>144.19999999999999</v>
      </c>
      <c r="CF12">
        <v>145.5</v>
      </c>
      <c r="CG12">
        <v>147.30000000000001</v>
      </c>
      <c r="CH12">
        <v>149.1</v>
      </c>
      <c r="CI12">
        <v>151.6</v>
      </c>
      <c r="CJ12">
        <v>152.80000000000001</v>
      </c>
      <c r="CK12">
        <v>154</v>
      </c>
      <c r="CL12">
        <v>158.69999999999999</v>
      </c>
      <c r="CM12" t="s">
        <v>43</v>
      </c>
      <c r="CN12">
        <v>159.80000000000001</v>
      </c>
      <c r="CO12">
        <v>159.80000000000001</v>
      </c>
      <c r="CP12">
        <v>160</v>
      </c>
      <c r="CQ12">
        <v>160</v>
      </c>
      <c r="CR12">
        <v>160.9</v>
      </c>
      <c r="CS12">
        <v>162</v>
      </c>
      <c r="CT12">
        <v>163.5</v>
      </c>
      <c r="CU12">
        <v>164.5</v>
      </c>
      <c r="CV12">
        <v>165</v>
      </c>
      <c r="CW12">
        <v>164</v>
      </c>
      <c r="CX12">
        <v>164.4</v>
      </c>
      <c r="CY12">
        <v>169.7</v>
      </c>
      <c r="CZ12">
        <v>170</v>
      </c>
      <c r="DA12">
        <v>169.7</v>
      </c>
      <c r="DB12">
        <v>169.8</v>
      </c>
      <c r="DC12">
        <v>170.1</v>
      </c>
      <c r="DD12">
        <v>170.6</v>
      </c>
      <c r="DE12">
        <v>170.8</v>
      </c>
      <c r="DF12">
        <v>171.7</v>
      </c>
      <c r="DG12">
        <v>173.3</v>
      </c>
      <c r="DH12">
        <v>175.4</v>
      </c>
      <c r="DI12">
        <v>178.7</v>
      </c>
      <c r="DJ12">
        <v>182.9</v>
      </c>
      <c r="DK12">
        <v>186.6</v>
      </c>
      <c r="DL12">
        <v>188.9</v>
      </c>
      <c r="DM12">
        <v>191.8</v>
      </c>
      <c r="DN12">
        <v>195.6</v>
      </c>
      <c r="DO12">
        <v>199.1</v>
      </c>
      <c r="DP12">
        <v>201.6</v>
      </c>
      <c r="DQ12">
        <v>204.8</v>
      </c>
      <c r="DR12">
        <v>207.5</v>
      </c>
      <c r="DS12">
        <v>210.5</v>
      </c>
      <c r="DT12">
        <v>212.1</v>
      </c>
      <c r="DU12">
        <v>212.1</v>
      </c>
      <c r="DV12">
        <v>215.5</v>
      </c>
      <c r="DW12">
        <v>221</v>
      </c>
    </row>
    <row r="13" spans="1:127" x14ac:dyDescent="0.3">
      <c r="A13" t="s">
        <v>33</v>
      </c>
      <c r="B13" t="str">
        <f>VLOOKUP(C13,'Broader Categories'!$A$1:$B$28,2,FALSE)</f>
        <v>Food</v>
      </c>
      <c r="C13" t="s">
        <v>13</v>
      </c>
      <c r="D13">
        <v>104.8</v>
      </c>
      <c r="E13">
        <v>105.1</v>
      </c>
      <c r="F13">
        <v>105.6</v>
      </c>
      <c r="G13">
        <v>106.5</v>
      </c>
      <c r="H13">
        <v>107.4</v>
      </c>
      <c r="I13">
        <v>108.2</v>
      </c>
      <c r="J13">
        <v>109.1</v>
      </c>
      <c r="K13">
        <v>109.7</v>
      </c>
      <c r="L13">
        <v>110.4</v>
      </c>
      <c r="M13">
        <v>111.1</v>
      </c>
      <c r="N13">
        <v>111.8</v>
      </c>
      <c r="O13">
        <v>112.1</v>
      </c>
      <c r="P13">
        <v>112.4</v>
      </c>
      <c r="Q13">
        <v>112.9</v>
      </c>
      <c r="R13">
        <v>113</v>
      </c>
      <c r="S13">
        <v>113.5</v>
      </c>
      <c r="T13">
        <v>114.2</v>
      </c>
      <c r="U13">
        <v>114.9</v>
      </c>
      <c r="V13">
        <v>115.6</v>
      </c>
      <c r="W13">
        <v>115.8</v>
      </c>
      <c r="X13">
        <v>116.5</v>
      </c>
      <c r="Y13">
        <v>116.8</v>
      </c>
      <c r="Z13">
        <v>116.8</v>
      </c>
      <c r="AA13">
        <v>117.3</v>
      </c>
      <c r="AB13">
        <v>117.9</v>
      </c>
      <c r="AC13">
        <v>118.8</v>
      </c>
      <c r="AD13">
        <v>118.9</v>
      </c>
      <c r="AE13">
        <v>119.4</v>
      </c>
      <c r="AF13">
        <v>120.2</v>
      </c>
      <c r="AG13">
        <v>121.1</v>
      </c>
      <c r="AH13">
        <v>121</v>
      </c>
      <c r="AI13">
        <v>121.5</v>
      </c>
      <c r="AJ13">
        <v>121.9</v>
      </c>
      <c r="AK13">
        <v>122.3</v>
      </c>
      <c r="AL13">
        <v>123.1</v>
      </c>
      <c r="AM13">
        <v>123.3</v>
      </c>
      <c r="AN13">
        <v>124.3</v>
      </c>
      <c r="AO13">
        <v>124.8</v>
      </c>
      <c r="AP13">
        <v>124.9</v>
      </c>
      <c r="AQ13">
        <v>125.4</v>
      </c>
      <c r="AR13">
        <v>126.1</v>
      </c>
      <c r="AS13">
        <v>126.4</v>
      </c>
      <c r="AT13">
        <v>127.3</v>
      </c>
      <c r="AU13">
        <v>128.1</v>
      </c>
      <c r="AV13">
        <v>128.80000000000001</v>
      </c>
      <c r="AW13">
        <v>128.69999999999999</v>
      </c>
      <c r="AX13">
        <v>128.69999999999999</v>
      </c>
      <c r="AY13">
        <v>129.1</v>
      </c>
      <c r="AZ13">
        <v>129</v>
      </c>
      <c r="BA13">
        <v>129.4</v>
      </c>
      <c r="BB13">
        <v>129.80000000000001</v>
      </c>
      <c r="BC13">
        <v>130</v>
      </c>
      <c r="BD13">
        <v>130.30000000000001</v>
      </c>
      <c r="BE13">
        <v>130.4</v>
      </c>
      <c r="BF13">
        <v>131.4</v>
      </c>
      <c r="BG13">
        <v>131.6</v>
      </c>
      <c r="BH13">
        <v>131.69999999999999</v>
      </c>
      <c r="BI13">
        <v>131.30000000000001</v>
      </c>
      <c r="BJ13">
        <v>131.9</v>
      </c>
      <c r="BK13">
        <v>131.1</v>
      </c>
      <c r="BL13">
        <v>131.19999999999999</v>
      </c>
      <c r="BM13">
        <v>130.5</v>
      </c>
      <c r="BN13">
        <v>131.19999999999999</v>
      </c>
      <c r="BO13">
        <v>131.9</v>
      </c>
      <c r="BP13">
        <v>132.19999999999999</v>
      </c>
      <c r="BQ13">
        <v>132.80000000000001</v>
      </c>
      <c r="BR13">
        <v>132.80000000000001</v>
      </c>
      <c r="BS13">
        <v>133.80000000000001</v>
      </c>
      <c r="BT13">
        <v>133.1</v>
      </c>
      <c r="BU13">
        <v>134.6</v>
      </c>
      <c r="BV13">
        <v>137.5</v>
      </c>
      <c r="BW13">
        <v>137.80000000000001</v>
      </c>
      <c r="BX13">
        <v>137</v>
      </c>
      <c r="BY13">
        <v>137.4</v>
      </c>
      <c r="BZ13">
        <v>137.4</v>
      </c>
      <c r="CA13">
        <v>137.69999999999999</v>
      </c>
      <c r="CB13">
        <v>138</v>
      </c>
      <c r="CC13">
        <v>138.5</v>
      </c>
      <c r="CD13">
        <v>138.5</v>
      </c>
      <c r="CE13">
        <v>138.5</v>
      </c>
      <c r="CF13">
        <v>138.6</v>
      </c>
      <c r="CG13">
        <v>138.69999999999999</v>
      </c>
      <c r="CH13">
        <v>139.30000000000001</v>
      </c>
      <c r="CI13">
        <v>139.69999999999999</v>
      </c>
      <c r="CJ13">
        <v>140.1</v>
      </c>
      <c r="CK13">
        <v>140.1</v>
      </c>
      <c r="CL13">
        <v>139.19999999999999</v>
      </c>
      <c r="CM13" t="s">
        <v>43</v>
      </c>
      <c r="CN13">
        <v>142.1</v>
      </c>
      <c r="CO13">
        <v>142.1</v>
      </c>
      <c r="CP13">
        <v>143.5</v>
      </c>
      <c r="CQ13">
        <v>145.4</v>
      </c>
      <c r="CR13">
        <v>147.4</v>
      </c>
      <c r="CS13">
        <v>150</v>
      </c>
      <c r="CT13">
        <v>153.4</v>
      </c>
      <c r="CU13">
        <v>156.1</v>
      </c>
      <c r="CV13">
        <v>160</v>
      </c>
      <c r="CW13">
        <v>160.6</v>
      </c>
      <c r="CX13">
        <v>161.9</v>
      </c>
      <c r="CY13">
        <v>164.6</v>
      </c>
      <c r="CZ13">
        <v>165.5</v>
      </c>
      <c r="DA13">
        <v>166.2</v>
      </c>
      <c r="DB13">
        <v>167.6</v>
      </c>
      <c r="DC13">
        <v>168.3</v>
      </c>
      <c r="DD13">
        <v>168.8</v>
      </c>
      <c r="DE13">
        <v>169.1</v>
      </c>
      <c r="DF13">
        <v>169.7</v>
      </c>
      <c r="DG13">
        <v>169.8</v>
      </c>
      <c r="DH13">
        <v>170.5</v>
      </c>
      <c r="DI13">
        <v>171.2</v>
      </c>
      <c r="DJ13">
        <v>172.4</v>
      </c>
      <c r="DK13">
        <v>173.2</v>
      </c>
      <c r="DL13">
        <v>174.2</v>
      </c>
      <c r="DM13">
        <v>174.5</v>
      </c>
      <c r="DN13">
        <v>174.8</v>
      </c>
      <c r="DO13">
        <v>175.4</v>
      </c>
      <c r="DP13">
        <v>175.8</v>
      </c>
      <c r="DQ13">
        <v>176.4</v>
      </c>
      <c r="DR13">
        <v>176.8</v>
      </c>
      <c r="DS13">
        <v>176.9</v>
      </c>
      <c r="DT13">
        <v>177.6</v>
      </c>
      <c r="DU13">
        <v>177.6</v>
      </c>
      <c r="DV13">
        <v>178.2</v>
      </c>
      <c r="DW13">
        <v>178.7</v>
      </c>
    </row>
    <row r="14" spans="1:127" x14ac:dyDescent="0.3">
      <c r="A14" t="s">
        <v>33</v>
      </c>
      <c r="B14" t="str">
        <f>VLOOKUP(C14,'Broader Categories'!$A$1:$B$28,2,FALSE)</f>
        <v>Food</v>
      </c>
      <c r="C14" t="s">
        <v>14</v>
      </c>
      <c r="D14">
        <v>106.7</v>
      </c>
      <c r="E14">
        <v>107.7</v>
      </c>
      <c r="F14">
        <v>108.2</v>
      </c>
      <c r="G14">
        <v>108.8</v>
      </c>
      <c r="H14">
        <v>109.9</v>
      </c>
      <c r="I14">
        <v>111</v>
      </c>
      <c r="J14">
        <v>112.1</v>
      </c>
      <c r="K14">
        <v>112.6</v>
      </c>
      <c r="L14">
        <v>114</v>
      </c>
      <c r="M14">
        <v>114.9</v>
      </c>
      <c r="N14">
        <v>116</v>
      </c>
      <c r="O14">
        <v>116.8</v>
      </c>
      <c r="P14">
        <v>117.3</v>
      </c>
      <c r="Q14">
        <v>117.8</v>
      </c>
      <c r="R14">
        <v>118.3</v>
      </c>
      <c r="S14">
        <v>118.7</v>
      </c>
      <c r="T14">
        <v>119.2</v>
      </c>
      <c r="U14">
        <v>120.1</v>
      </c>
      <c r="V14">
        <v>120.9</v>
      </c>
      <c r="W14">
        <v>121.7</v>
      </c>
      <c r="X14">
        <v>122.6</v>
      </c>
      <c r="Y14">
        <v>123.2</v>
      </c>
      <c r="Z14">
        <v>124.5</v>
      </c>
      <c r="AA14">
        <v>124.8</v>
      </c>
      <c r="AB14">
        <v>125.6</v>
      </c>
      <c r="AC14">
        <v>126.8</v>
      </c>
      <c r="AD14">
        <v>127.7</v>
      </c>
      <c r="AE14">
        <v>128.69999999999999</v>
      </c>
      <c r="AF14">
        <v>129.80000000000001</v>
      </c>
      <c r="AG14">
        <v>131.19999999999999</v>
      </c>
      <c r="AH14">
        <v>131.69999999999999</v>
      </c>
      <c r="AI14">
        <v>132.5</v>
      </c>
      <c r="AJ14">
        <v>132.69999999999999</v>
      </c>
      <c r="AK14">
        <v>133.1</v>
      </c>
      <c r="AL14">
        <v>134.19999999999999</v>
      </c>
      <c r="AM14">
        <v>135.1</v>
      </c>
      <c r="AN14">
        <v>135.9</v>
      </c>
      <c r="AO14">
        <v>136.4</v>
      </c>
      <c r="AP14">
        <v>137</v>
      </c>
      <c r="AQ14">
        <v>137.4</v>
      </c>
      <c r="AR14">
        <v>138.30000000000001</v>
      </c>
      <c r="AS14">
        <v>139.19999999999999</v>
      </c>
      <c r="AT14">
        <v>139.9</v>
      </c>
      <c r="AU14">
        <v>140.69999999999999</v>
      </c>
      <c r="AV14">
        <v>141.5</v>
      </c>
      <c r="AW14">
        <v>142.4</v>
      </c>
      <c r="AX14">
        <v>143.1</v>
      </c>
      <c r="AY14">
        <v>143.6</v>
      </c>
      <c r="AZ14">
        <v>143.9</v>
      </c>
      <c r="BA14">
        <v>144.4</v>
      </c>
      <c r="BB14">
        <v>145.4</v>
      </c>
      <c r="BC14">
        <v>145.5</v>
      </c>
      <c r="BD14">
        <v>145.80000000000001</v>
      </c>
      <c r="BE14">
        <v>146.5</v>
      </c>
      <c r="BF14">
        <v>147.69999999999999</v>
      </c>
      <c r="BG14">
        <v>148.69999999999999</v>
      </c>
      <c r="BH14">
        <v>149.30000000000001</v>
      </c>
      <c r="BI14">
        <v>150.30000000000001</v>
      </c>
      <c r="BJ14">
        <v>151.4</v>
      </c>
      <c r="BK14">
        <v>151.4</v>
      </c>
      <c r="BL14">
        <v>151.80000000000001</v>
      </c>
      <c r="BM14">
        <v>151.69999999999999</v>
      </c>
      <c r="BN14">
        <v>152.80000000000001</v>
      </c>
      <c r="BO14">
        <v>153.80000000000001</v>
      </c>
      <c r="BP14">
        <v>154.30000000000001</v>
      </c>
      <c r="BQ14">
        <v>154.30000000000001</v>
      </c>
      <c r="BR14">
        <v>154.80000000000001</v>
      </c>
      <c r="BS14">
        <v>155.19999999999999</v>
      </c>
      <c r="BT14">
        <v>155.9</v>
      </c>
      <c r="BU14">
        <v>155.19999999999999</v>
      </c>
      <c r="BV14">
        <v>156.1</v>
      </c>
      <c r="BW14">
        <v>156</v>
      </c>
      <c r="BX14">
        <v>155.80000000000001</v>
      </c>
      <c r="BY14">
        <v>156.19999999999999</v>
      </c>
      <c r="BZ14">
        <v>156.4</v>
      </c>
      <c r="CA14">
        <v>156.4</v>
      </c>
      <c r="CB14">
        <v>156.6</v>
      </c>
      <c r="CC14">
        <v>156.69999999999999</v>
      </c>
      <c r="CD14">
        <v>156.9</v>
      </c>
      <c r="CE14">
        <v>157.19999999999999</v>
      </c>
      <c r="CF14">
        <v>157.4</v>
      </c>
      <c r="CG14">
        <v>157.69999999999999</v>
      </c>
      <c r="CH14">
        <v>158.30000000000001</v>
      </c>
      <c r="CI14">
        <v>158.69999999999999</v>
      </c>
      <c r="CJ14">
        <v>159.19999999999999</v>
      </c>
      <c r="CK14">
        <v>160</v>
      </c>
      <c r="CL14" t="s">
        <v>43</v>
      </c>
      <c r="CM14" t="s">
        <v>43</v>
      </c>
      <c r="CN14">
        <v>161.80000000000001</v>
      </c>
      <c r="CO14">
        <v>161.80000000000001</v>
      </c>
      <c r="CP14">
        <v>161.5</v>
      </c>
      <c r="CQ14">
        <v>161.6</v>
      </c>
      <c r="CR14">
        <v>161.9</v>
      </c>
      <c r="CS14">
        <v>162.69999999999999</v>
      </c>
      <c r="CT14">
        <v>163.6</v>
      </c>
      <c r="CU14">
        <v>164.3</v>
      </c>
      <c r="CV14">
        <v>165.8</v>
      </c>
      <c r="CW14">
        <v>166.4</v>
      </c>
      <c r="CX14">
        <v>166.8</v>
      </c>
      <c r="CY14">
        <v>169.8</v>
      </c>
      <c r="CZ14">
        <v>171.7</v>
      </c>
      <c r="DA14">
        <v>171</v>
      </c>
      <c r="DB14">
        <v>171.9</v>
      </c>
      <c r="DC14">
        <v>172.8</v>
      </c>
      <c r="DD14">
        <v>173.6</v>
      </c>
      <c r="DE14">
        <v>174.3</v>
      </c>
      <c r="DF14">
        <v>175.1</v>
      </c>
      <c r="DG14">
        <v>175.8</v>
      </c>
      <c r="DH14">
        <v>176.3</v>
      </c>
      <c r="DI14">
        <v>177.4</v>
      </c>
      <c r="DJ14">
        <v>178.9</v>
      </c>
      <c r="DK14">
        <v>180.4</v>
      </c>
      <c r="DL14">
        <v>181.9</v>
      </c>
      <c r="DM14">
        <v>183.1</v>
      </c>
      <c r="DN14">
        <v>184</v>
      </c>
      <c r="DO14">
        <v>184.8</v>
      </c>
      <c r="DP14">
        <v>185.6</v>
      </c>
      <c r="DQ14">
        <v>186.9</v>
      </c>
      <c r="DR14">
        <v>187.7</v>
      </c>
      <c r="DS14">
        <v>188.5</v>
      </c>
      <c r="DT14">
        <v>189.9</v>
      </c>
      <c r="DU14">
        <v>189.9</v>
      </c>
      <c r="DV14">
        <v>190.5</v>
      </c>
      <c r="DW14">
        <v>191.1</v>
      </c>
    </row>
    <row r="15" spans="1:127" x14ac:dyDescent="0.3">
      <c r="A15" t="s">
        <v>33</v>
      </c>
      <c r="B15" t="str">
        <f>VLOOKUP(C15,'Broader Categories'!$A$1:$B$28,2,FALSE)</f>
        <v>Food</v>
      </c>
      <c r="C15" t="s">
        <v>15</v>
      </c>
      <c r="D15">
        <v>105.5</v>
      </c>
      <c r="E15">
        <v>106.3</v>
      </c>
      <c r="F15">
        <v>106.6</v>
      </c>
      <c r="G15">
        <v>107.1</v>
      </c>
      <c r="H15">
        <v>108.1</v>
      </c>
      <c r="I15">
        <v>110.6</v>
      </c>
      <c r="J15">
        <v>113.1</v>
      </c>
      <c r="K15">
        <v>114.9</v>
      </c>
      <c r="L15">
        <v>117.8</v>
      </c>
      <c r="M15">
        <v>119.8</v>
      </c>
      <c r="N15">
        <v>122.5</v>
      </c>
      <c r="O15">
        <v>118.7</v>
      </c>
      <c r="P15">
        <v>116</v>
      </c>
      <c r="Q15">
        <v>115.3</v>
      </c>
      <c r="R15">
        <v>116.2</v>
      </c>
      <c r="S15">
        <v>117.2</v>
      </c>
      <c r="T15">
        <v>118.2</v>
      </c>
      <c r="U15">
        <v>119.5</v>
      </c>
      <c r="V15">
        <v>123.3</v>
      </c>
      <c r="W15">
        <v>125.3</v>
      </c>
      <c r="X15">
        <v>125.3</v>
      </c>
      <c r="Y15">
        <v>125.1</v>
      </c>
      <c r="Z15">
        <v>124.9</v>
      </c>
      <c r="AA15">
        <v>123.3</v>
      </c>
      <c r="AB15">
        <v>122.8</v>
      </c>
      <c r="AC15">
        <v>122.8</v>
      </c>
      <c r="AD15">
        <v>123.1</v>
      </c>
      <c r="AE15">
        <v>123.6</v>
      </c>
      <c r="AF15">
        <v>124.4</v>
      </c>
      <c r="AG15">
        <v>126.6</v>
      </c>
      <c r="AH15">
        <v>127.5</v>
      </c>
      <c r="AI15">
        <v>129.80000000000001</v>
      </c>
      <c r="AJ15">
        <v>131</v>
      </c>
      <c r="AK15">
        <v>131.80000000000001</v>
      </c>
      <c r="AL15">
        <v>132.4</v>
      </c>
      <c r="AM15">
        <v>131.4</v>
      </c>
      <c r="AN15">
        <v>131.4</v>
      </c>
      <c r="AO15">
        <v>130.30000000000001</v>
      </c>
      <c r="AP15">
        <v>130.4</v>
      </c>
      <c r="AQ15">
        <v>131.80000000000001</v>
      </c>
      <c r="AR15">
        <v>133.6</v>
      </c>
      <c r="AS15">
        <v>136</v>
      </c>
      <c r="AT15">
        <v>137.6</v>
      </c>
      <c r="AU15">
        <v>138</v>
      </c>
      <c r="AV15">
        <v>137.19999999999999</v>
      </c>
      <c r="AW15">
        <v>137.4</v>
      </c>
      <c r="AX15">
        <v>136.6</v>
      </c>
      <c r="AY15">
        <v>134.69999999999999</v>
      </c>
      <c r="AZ15">
        <v>133.69999999999999</v>
      </c>
      <c r="BA15">
        <v>133.6</v>
      </c>
      <c r="BB15">
        <v>133.4</v>
      </c>
      <c r="BC15">
        <v>133.5</v>
      </c>
      <c r="BD15">
        <v>133.80000000000001</v>
      </c>
      <c r="BE15">
        <v>134.9</v>
      </c>
      <c r="BF15">
        <v>138.5</v>
      </c>
      <c r="BG15">
        <v>140.6</v>
      </c>
      <c r="BH15">
        <v>139.6</v>
      </c>
      <c r="BI15">
        <v>140.4</v>
      </c>
      <c r="BJ15">
        <v>142.4</v>
      </c>
      <c r="BK15">
        <v>141.5</v>
      </c>
      <c r="BL15">
        <v>140.4</v>
      </c>
      <c r="BM15">
        <v>138.69999999999999</v>
      </c>
      <c r="BN15">
        <v>138.6</v>
      </c>
      <c r="BO15">
        <v>138.6</v>
      </c>
      <c r="BP15">
        <v>139.1</v>
      </c>
      <c r="BQ15">
        <v>140</v>
      </c>
      <c r="BR15">
        <v>142</v>
      </c>
      <c r="BS15">
        <v>142.69999999999999</v>
      </c>
      <c r="BT15">
        <v>141.30000000000001</v>
      </c>
      <c r="BU15">
        <v>140.19999999999999</v>
      </c>
      <c r="BV15">
        <v>140</v>
      </c>
      <c r="BW15">
        <v>138.5</v>
      </c>
      <c r="BX15">
        <v>137.4</v>
      </c>
      <c r="BY15">
        <v>137.19999999999999</v>
      </c>
      <c r="BZ15">
        <v>137.30000000000001</v>
      </c>
      <c r="CA15">
        <v>139.19999999999999</v>
      </c>
      <c r="CB15">
        <v>141</v>
      </c>
      <c r="CC15">
        <v>143</v>
      </c>
      <c r="CD15">
        <v>144</v>
      </c>
      <c r="CE15">
        <v>145.5</v>
      </c>
      <c r="CF15">
        <v>148.30000000000001</v>
      </c>
      <c r="CG15">
        <v>150.9</v>
      </c>
      <c r="CH15">
        <v>154.30000000000001</v>
      </c>
      <c r="CI15">
        <v>153</v>
      </c>
      <c r="CJ15">
        <v>149.80000000000001</v>
      </c>
      <c r="CK15">
        <v>148.19999999999999</v>
      </c>
      <c r="CL15">
        <v>150.1</v>
      </c>
      <c r="CM15" t="s">
        <v>43</v>
      </c>
      <c r="CN15">
        <v>152.30000000000001</v>
      </c>
      <c r="CO15">
        <v>152.30000000000001</v>
      </c>
      <c r="CP15">
        <v>155.30000000000001</v>
      </c>
      <c r="CQ15">
        <v>156.1</v>
      </c>
      <c r="CR15">
        <v>159.6</v>
      </c>
      <c r="CS15">
        <v>163.4</v>
      </c>
      <c r="CT15">
        <v>164.5</v>
      </c>
      <c r="CU15">
        <v>159.6</v>
      </c>
      <c r="CV15">
        <v>154.69999999999999</v>
      </c>
      <c r="CW15">
        <v>154.5</v>
      </c>
      <c r="CX15">
        <v>155.6</v>
      </c>
      <c r="CY15">
        <v>158.69999999999999</v>
      </c>
      <c r="CZ15">
        <v>160.5</v>
      </c>
      <c r="DA15">
        <v>161.69999999999999</v>
      </c>
      <c r="DB15">
        <v>161.80000000000001</v>
      </c>
      <c r="DC15">
        <v>162.1</v>
      </c>
      <c r="DD15">
        <v>165.5</v>
      </c>
      <c r="DE15">
        <v>167.5</v>
      </c>
      <c r="DF15">
        <v>165.8</v>
      </c>
      <c r="DG15">
        <v>164.1</v>
      </c>
      <c r="DH15">
        <v>163.9</v>
      </c>
      <c r="DI15">
        <v>166.6</v>
      </c>
      <c r="DJ15">
        <v>168.6</v>
      </c>
      <c r="DK15">
        <v>170.8</v>
      </c>
      <c r="DL15">
        <v>172.4</v>
      </c>
      <c r="DM15">
        <v>172.5</v>
      </c>
      <c r="DN15">
        <v>173.9</v>
      </c>
      <c r="DO15">
        <v>175.5</v>
      </c>
      <c r="DP15">
        <v>177.4</v>
      </c>
      <c r="DQ15">
        <v>176.6</v>
      </c>
      <c r="DR15">
        <v>174.4</v>
      </c>
      <c r="DS15">
        <v>175</v>
      </c>
      <c r="DT15">
        <v>174.8</v>
      </c>
      <c r="DU15">
        <v>174.8</v>
      </c>
      <c r="DV15">
        <v>175.5</v>
      </c>
      <c r="DW15">
        <v>176.8</v>
      </c>
    </row>
    <row r="16" spans="1:127" x14ac:dyDescent="0.3">
      <c r="A16" t="s">
        <v>33</v>
      </c>
      <c r="B16" t="str">
        <f>VLOOKUP(C16,'Broader Categories'!$A$1:$B$28,2,FALSE)</f>
        <v>Food</v>
      </c>
      <c r="C16" t="s">
        <v>16</v>
      </c>
      <c r="D16">
        <v>105.1</v>
      </c>
      <c r="E16">
        <v>105.6</v>
      </c>
      <c r="F16">
        <v>106.5</v>
      </c>
      <c r="G16">
        <v>107.1</v>
      </c>
      <c r="H16">
        <v>108.1</v>
      </c>
      <c r="I16">
        <v>109</v>
      </c>
      <c r="J16">
        <v>109.8</v>
      </c>
      <c r="K16">
        <v>110.7</v>
      </c>
      <c r="L16">
        <v>111.7</v>
      </c>
      <c r="M16">
        <v>112.2</v>
      </c>
      <c r="N16">
        <v>112.8</v>
      </c>
      <c r="O16">
        <v>113.6</v>
      </c>
      <c r="P16">
        <v>114</v>
      </c>
      <c r="Q16">
        <v>114.2</v>
      </c>
      <c r="R16">
        <v>114.6</v>
      </c>
      <c r="S16">
        <v>115.4</v>
      </c>
      <c r="T16">
        <v>116.3</v>
      </c>
      <c r="U16">
        <v>117.3</v>
      </c>
      <c r="V16">
        <v>118</v>
      </c>
      <c r="W16">
        <v>118.8</v>
      </c>
      <c r="X16">
        <v>119.5</v>
      </c>
      <c r="Y16">
        <v>120</v>
      </c>
      <c r="Z16">
        <v>120.8</v>
      </c>
      <c r="AA16">
        <v>121.7</v>
      </c>
      <c r="AB16">
        <v>122.7</v>
      </c>
      <c r="AC16">
        <v>124.2</v>
      </c>
      <c r="AD16">
        <v>124.7</v>
      </c>
      <c r="AE16">
        <v>125.7</v>
      </c>
      <c r="AF16">
        <v>126.7</v>
      </c>
      <c r="AG16">
        <v>128.19999999999999</v>
      </c>
      <c r="AH16">
        <v>129.4</v>
      </c>
      <c r="AI16">
        <v>130.1</v>
      </c>
      <c r="AJ16">
        <v>131</v>
      </c>
      <c r="AK16">
        <v>131.5</v>
      </c>
      <c r="AL16">
        <v>132.19999999999999</v>
      </c>
      <c r="AM16">
        <v>133.1</v>
      </c>
      <c r="AN16">
        <v>133.6</v>
      </c>
      <c r="AO16">
        <v>134.4</v>
      </c>
      <c r="AP16">
        <v>135</v>
      </c>
      <c r="AQ16">
        <v>135.5</v>
      </c>
      <c r="AR16">
        <v>136</v>
      </c>
      <c r="AS16">
        <v>137.19999999999999</v>
      </c>
      <c r="AT16">
        <v>138</v>
      </c>
      <c r="AU16">
        <v>138.9</v>
      </c>
      <c r="AV16">
        <v>139.9</v>
      </c>
      <c r="AW16">
        <v>140.9</v>
      </c>
      <c r="AX16">
        <v>141.19999999999999</v>
      </c>
      <c r="AY16">
        <v>142.4</v>
      </c>
      <c r="AZ16">
        <v>143.1</v>
      </c>
      <c r="BA16">
        <v>143.69999999999999</v>
      </c>
      <c r="BB16">
        <v>144.19999999999999</v>
      </c>
      <c r="BC16">
        <v>144.4</v>
      </c>
      <c r="BD16">
        <v>145.5</v>
      </c>
      <c r="BE16">
        <v>145.80000000000001</v>
      </c>
      <c r="BF16">
        <v>147.4</v>
      </c>
      <c r="BG16">
        <v>149</v>
      </c>
      <c r="BH16">
        <v>149.80000000000001</v>
      </c>
      <c r="BI16">
        <v>150.5</v>
      </c>
      <c r="BJ16">
        <v>152.1</v>
      </c>
      <c r="BK16">
        <v>153.19999999999999</v>
      </c>
      <c r="BL16">
        <v>153.6</v>
      </c>
      <c r="BM16">
        <v>153.30000000000001</v>
      </c>
      <c r="BN16">
        <v>155.1</v>
      </c>
      <c r="BO16">
        <v>156.1</v>
      </c>
      <c r="BP16">
        <v>157</v>
      </c>
      <c r="BQ16">
        <v>157.30000000000001</v>
      </c>
      <c r="BR16">
        <v>156.1</v>
      </c>
      <c r="BS16">
        <v>156.4</v>
      </c>
      <c r="BT16">
        <v>157.69999999999999</v>
      </c>
      <c r="BU16">
        <v>159.6</v>
      </c>
      <c r="BV16">
        <v>161.9</v>
      </c>
      <c r="BW16">
        <v>162.4</v>
      </c>
      <c r="BX16">
        <v>162.69999999999999</v>
      </c>
      <c r="BY16">
        <v>162.80000000000001</v>
      </c>
      <c r="BZ16">
        <v>162.9</v>
      </c>
      <c r="CA16">
        <v>163.30000000000001</v>
      </c>
      <c r="CB16">
        <v>164.2</v>
      </c>
      <c r="CC16">
        <v>164.5</v>
      </c>
      <c r="CD16">
        <v>165.1</v>
      </c>
      <c r="CE16">
        <v>165.7</v>
      </c>
      <c r="CF16">
        <v>166.3</v>
      </c>
      <c r="CG16">
        <v>167.2</v>
      </c>
      <c r="CH16">
        <v>167.8</v>
      </c>
      <c r="CI16">
        <v>168.6</v>
      </c>
      <c r="CJ16">
        <v>169.4</v>
      </c>
      <c r="CK16">
        <v>170.5</v>
      </c>
      <c r="CL16" t="s">
        <v>43</v>
      </c>
      <c r="CM16" t="s">
        <v>43</v>
      </c>
      <c r="CN16">
        <v>182.4</v>
      </c>
      <c r="CO16">
        <v>182.4</v>
      </c>
      <c r="CP16">
        <v>180.9</v>
      </c>
      <c r="CQ16">
        <v>182.9</v>
      </c>
      <c r="CR16">
        <v>182.7</v>
      </c>
      <c r="CS16">
        <v>183.4</v>
      </c>
      <c r="CT16">
        <v>183.6</v>
      </c>
      <c r="CU16">
        <v>184.6</v>
      </c>
      <c r="CV16">
        <v>186.5</v>
      </c>
      <c r="CW16">
        <v>186.1</v>
      </c>
      <c r="CX16">
        <v>186.8</v>
      </c>
      <c r="CY16">
        <v>189.6</v>
      </c>
      <c r="CZ16">
        <v>189.1</v>
      </c>
      <c r="DA16">
        <v>189.7</v>
      </c>
      <c r="DB16">
        <v>190.2</v>
      </c>
      <c r="DC16">
        <v>190.5</v>
      </c>
      <c r="DD16">
        <v>191.2</v>
      </c>
      <c r="DE16">
        <v>191.4</v>
      </c>
      <c r="DF16">
        <v>190.8</v>
      </c>
      <c r="DG16">
        <v>190.7</v>
      </c>
      <c r="DH16">
        <v>191.5</v>
      </c>
      <c r="DI16">
        <v>192.3</v>
      </c>
      <c r="DJ16">
        <v>192.8</v>
      </c>
      <c r="DK16">
        <v>192.9</v>
      </c>
      <c r="DL16">
        <v>192.9</v>
      </c>
      <c r="DM16">
        <v>193.2</v>
      </c>
      <c r="DN16">
        <v>193.7</v>
      </c>
      <c r="DO16">
        <v>194.5</v>
      </c>
      <c r="DP16">
        <v>194.9</v>
      </c>
      <c r="DQ16">
        <v>195.5</v>
      </c>
      <c r="DR16">
        <v>195.9</v>
      </c>
      <c r="DS16">
        <v>196.9</v>
      </c>
      <c r="DT16">
        <v>198.3</v>
      </c>
      <c r="DU16">
        <v>198.4</v>
      </c>
      <c r="DV16">
        <v>199.5</v>
      </c>
      <c r="DW16">
        <v>199.9</v>
      </c>
    </row>
    <row r="17" spans="1:127" x14ac:dyDescent="0.3">
      <c r="A17" t="s">
        <v>33</v>
      </c>
      <c r="B17" t="str">
        <f>VLOOKUP(C17,'Broader Categories'!$A$1:$B$28,2,FALSE)</f>
        <v>Apparels</v>
      </c>
      <c r="C17" t="s">
        <v>18</v>
      </c>
      <c r="D17">
        <v>106.5</v>
      </c>
      <c r="E17">
        <v>107.1</v>
      </c>
      <c r="F17">
        <v>107.6</v>
      </c>
      <c r="G17">
        <v>108.1</v>
      </c>
      <c r="H17">
        <v>108.8</v>
      </c>
      <c r="I17">
        <v>109.7</v>
      </c>
      <c r="J17">
        <v>110.5</v>
      </c>
      <c r="K17">
        <v>111.3</v>
      </c>
      <c r="L17">
        <v>112.7</v>
      </c>
      <c r="M17">
        <v>113.6</v>
      </c>
      <c r="N17">
        <v>114.6</v>
      </c>
      <c r="O17">
        <v>115.8</v>
      </c>
      <c r="P17">
        <v>116.5</v>
      </c>
      <c r="Q17">
        <v>117.1</v>
      </c>
      <c r="R17">
        <v>117.5</v>
      </c>
      <c r="S17">
        <v>118.1</v>
      </c>
      <c r="T17">
        <v>118.7</v>
      </c>
      <c r="U17">
        <v>119.7</v>
      </c>
      <c r="V17">
        <v>120.7</v>
      </c>
      <c r="W17">
        <v>120.9</v>
      </c>
      <c r="X17">
        <v>121.7</v>
      </c>
      <c r="Y17">
        <v>122.7</v>
      </c>
      <c r="Z17">
        <v>123.3</v>
      </c>
      <c r="AA17">
        <v>123.8</v>
      </c>
      <c r="AB17">
        <v>124.4</v>
      </c>
      <c r="AC17">
        <v>125.4</v>
      </c>
      <c r="AD17">
        <v>126</v>
      </c>
      <c r="AE17">
        <v>126.4</v>
      </c>
      <c r="AF17">
        <v>127.3</v>
      </c>
      <c r="AG17">
        <v>128.4</v>
      </c>
      <c r="AH17">
        <v>128.80000000000001</v>
      </c>
      <c r="AI17">
        <v>129.5</v>
      </c>
      <c r="AJ17">
        <v>130.4</v>
      </c>
      <c r="AK17">
        <v>131.1</v>
      </c>
      <c r="AL17">
        <v>132.1</v>
      </c>
      <c r="AM17">
        <v>132.5</v>
      </c>
      <c r="AN17">
        <v>133.19999999999999</v>
      </c>
      <c r="AO17">
        <v>133.9</v>
      </c>
      <c r="AP17">
        <v>134.4</v>
      </c>
      <c r="AQ17">
        <v>135</v>
      </c>
      <c r="AR17">
        <v>135.4</v>
      </c>
      <c r="AS17">
        <v>136.30000000000001</v>
      </c>
      <c r="AT17">
        <v>137.19999999999999</v>
      </c>
      <c r="AU17">
        <v>137.80000000000001</v>
      </c>
      <c r="AV17">
        <v>138.5</v>
      </c>
      <c r="AW17">
        <v>139.6</v>
      </c>
      <c r="AX17">
        <v>139.9</v>
      </c>
      <c r="AY17">
        <v>140.4</v>
      </c>
      <c r="AZ17">
        <v>140.69999999999999</v>
      </c>
      <c r="BA17">
        <v>140.9</v>
      </c>
      <c r="BB17">
        <v>141.6</v>
      </c>
      <c r="BC17">
        <v>142.4</v>
      </c>
      <c r="BD17">
        <v>142.5</v>
      </c>
      <c r="BE17">
        <v>143.1</v>
      </c>
      <c r="BF17">
        <v>144.30000000000001</v>
      </c>
      <c r="BG17">
        <v>145.30000000000001</v>
      </c>
      <c r="BH17">
        <v>146.1</v>
      </c>
      <c r="BI17">
        <v>147.19999999999999</v>
      </c>
      <c r="BJ17">
        <v>148.19999999999999</v>
      </c>
      <c r="BK17">
        <v>148</v>
      </c>
      <c r="BL17">
        <v>148.30000000000001</v>
      </c>
      <c r="BM17">
        <v>148.69999999999999</v>
      </c>
      <c r="BN17">
        <v>149.19999999999999</v>
      </c>
      <c r="BO17">
        <v>150.1</v>
      </c>
      <c r="BP17">
        <v>150.80000000000001</v>
      </c>
      <c r="BQ17">
        <v>151.30000000000001</v>
      </c>
      <c r="BR17">
        <v>151.5</v>
      </c>
      <c r="BS17">
        <v>152.1</v>
      </c>
      <c r="BT17">
        <v>152.1</v>
      </c>
      <c r="BU17">
        <v>150.69999999999999</v>
      </c>
      <c r="BV17">
        <v>151.69999999999999</v>
      </c>
      <c r="BW17">
        <v>151.6</v>
      </c>
      <c r="BX17">
        <v>150.6</v>
      </c>
      <c r="BY17">
        <v>150.5</v>
      </c>
      <c r="BZ17">
        <v>150.80000000000001</v>
      </c>
      <c r="CA17">
        <v>151.30000000000001</v>
      </c>
      <c r="CB17">
        <v>151.4</v>
      </c>
      <c r="CC17">
        <v>151.6</v>
      </c>
      <c r="CD17">
        <v>151.80000000000001</v>
      </c>
      <c r="CE17">
        <v>151.69999999999999</v>
      </c>
      <c r="CF17">
        <v>151.69999999999999</v>
      </c>
      <c r="CG17">
        <v>152.30000000000001</v>
      </c>
      <c r="CH17">
        <v>152.6</v>
      </c>
      <c r="CI17">
        <v>152.80000000000001</v>
      </c>
      <c r="CJ17">
        <v>153</v>
      </c>
      <c r="CK17">
        <v>153.4</v>
      </c>
      <c r="CL17" t="s">
        <v>43</v>
      </c>
      <c r="CM17" t="s">
        <v>43</v>
      </c>
      <c r="CN17">
        <v>154.69999999999999</v>
      </c>
      <c r="CO17">
        <v>154.69999999999999</v>
      </c>
      <c r="CP17">
        <v>155.1</v>
      </c>
      <c r="CQ17">
        <v>155.4</v>
      </c>
      <c r="CR17">
        <v>155.69999999999999</v>
      </c>
      <c r="CS17">
        <v>156.30000000000001</v>
      </c>
      <c r="CT17">
        <v>157</v>
      </c>
      <c r="CU17">
        <v>157.5</v>
      </c>
      <c r="CV17">
        <v>159.1</v>
      </c>
      <c r="CW17">
        <v>159.6</v>
      </c>
      <c r="CX17">
        <v>160.69999999999999</v>
      </c>
      <c r="CY17">
        <v>165.3</v>
      </c>
      <c r="CZ17">
        <v>165.3</v>
      </c>
      <c r="DA17">
        <v>166</v>
      </c>
      <c r="DB17">
        <v>167</v>
      </c>
      <c r="DC17">
        <v>167.7</v>
      </c>
      <c r="DD17">
        <v>168.9</v>
      </c>
      <c r="DE17">
        <v>170.4</v>
      </c>
      <c r="DF17">
        <v>171.8</v>
      </c>
      <c r="DG17">
        <v>173.2</v>
      </c>
      <c r="DH17">
        <v>174.1</v>
      </c>
      <c r="DI17">
        <v>175.4</v>
      </c>
      <c r="DJ17">
        <v>177.5</v>
      </c>
      <c r="DK17">
        <v>179.3</v>
      </c>
      <c r="DL17">
        <v>180.7</v>
      </c>
      <c r="DM17">
        <v>182</v>
      </c>
      <c r="DN17">
        <v>183.2</v>
      </c>
      <c r="DO17">
        <v>184.7</v>
      </c>
      <c r="DP17">
        <v>186.1</v>
      </c>
      <c r="DQ17">
        <v>187.2</v>
      </c>
      <c r="DR17">
        <v>188.1</v>
      </c>
      <c r="DS17">
        <v>189</v>
      </c>
      <c r="DT17">
        <v>190</v>
      </c>
      <c r="DU17">
        <v>190</v>
      </c>
      <c r="DV17">
        <v>190.7</v>
      </c>
      <c r="DW17">
        <v>191.2</v>
      </c>
    </row>
    <row r="18" spans="1:127" x14ac:dyDescent="0.3">
      <c r="A18" t="s">
        <v>33</v>
      </c>
      <c r="B18" t="str">
        <f>VLOOKUP(C18,'Broader Categories'!$A$1:$B$28,2,FALSE)</f>
        <v>Apparels</v>
      </c>
      <c r="C18" t="s">
        <v>19</v>
      </c>
      <c r="D18">
        <v>105.8</v>
      </c>
      <c r="E18">
        <v>106.3</v>
      </c>
      <c r="F18">
        <v>106.8</v>
      </c>
      <c r="G18">
        <v>107.4</v>
      </c>
      <c r="H18">
        <v>107.9</v>
      </c>
      <c r="I18">
        <v>108.8</v>
      </c>
      <c r="J18">
        <v>109.5</v>
      </c>
      <c r="K18">
        <v>110.2</v>
      </c>
      <c r="L18">
        <v>111.4</v>
      </c>
      <c r="M18">
        <v>112.3</v>
      </c>
      <c r="N18">
        <v>113.1</v>
      </c>
      <c r="O18">
        <v>114</v>
      </c>
      <c r="P18">
        <v>114.5</v>
      </c>
      <c r="Q18">
        <v>114.5</v>
      </c>
      <c r="R18">
        <v>114.9</v>
      </c>
      <c r="S18">
        <v>116.1</v>
      </c>
      <c r="T18">
        <v>116.8</v>
      </c>
      <c r="U18">
        <v>117.3</v>
      </c>
      <c r="V18">
        <v>118.3</v>
      </c>
      <c r="W18">
        <v>118.8</v>
      </c>
      <c r="X18">
        <v>119.2</v>
      </c>
      <c r="Y18">
        <v>120.3</v>
      </c>
      <c r="Z18">
        <v>120.5</v>
      </c>
      <c r="AA18">
        <v>120.6</v>
      </c>
      <c r="AB18">
        <v>121.6</v>
      </c>
      <c r="AC18">
        <v>122.7</v>
      </c>
      <c r="AD18">
        <v>122.9</v>
      </c>
      <c r="AE18">
        <v>123.3</v>
      </c>
      <c r="AF18">
        <v>124.1</v>
      </c>
      <c r="AG18">
        <v>125.1</v>
      </c>
      <c r="AH18">
        <v>125.5</v>
      </c>
      <c r="AI18">
        <v>126.3</v>
      </c>
      <c r="AJ18">
        <v>126.8</v>
      </c>
      <c r="AK18">
        <v>127.3</v>
      </c>
      <c r="AL18">
        <v>128.19999999999999</v>
      </c>
      <c r="AM18">
        <v>128.5</v>
      </c>
      <c r="AN18">
        <v>128.9</v>
      </c>
      <c r="AO18">
        <v>129.80000000000001</v>
      </c>
      <c r="AP18">
        <v>130.19999999999999</v>
      </c>
      <c r="AQ18">
        <v>130.6</v>
      </c>
      <c r="AR18">
        <v>131.1</v>
      </c>
      <c r="AS18">
        <v>131.6</v>
      </c>
      <c r="AT18">
        <v>132.19999999999999</v>
      </c>
      <c r="AU18">
        <v>133</v>
      </c>
      <c r="AV18">
        <v>133.5</v>
      </c>
      <c r="AW18">
        <v>134.30000000000001</v>
      </c>
      <c r="AX18">
        <v>134.5</v>
      </c>
      <c r="AY18">
        <v>135.19999999999999</v>
      </c>
      <c r="AZ18">
        <v>135.80000000000001</v>
      </c>
      <c r="BA18">
        <v>135.80000000000001</v>
      </c>
      <c r="BB18">
        <v>136.19999999999999</v>
      </c>
      <c r="BC18">
        <v>136.80000000000001</v>
      </c>
      <c r="BD18">
        <v>137.30000000000001</v>
      </c>
      <c r="BE18">
        <v>137.69999999999999</v>
      </c>
      <c r="BF18">
        <v>138.1</v>
      </c>
      <c r="BG18">
        <v>139.19999999999999</v>
      </c>
      <c r="BH18">
        <v>139.69999999999999</v>
      </c>
      <c r="BI18">
        <v>140.6</v>
      </c>
      <c r="BJ18">
        <v>141.5</v>
      </c>
      <c r="BK18">
        <v>141.9</v>
      </c>
      <c r="BL18">
        <v>142.30000000000001</v>
      </c>
      <c r="BM18">
        <v>142.4</v>
      </c>
      <c r="BN18">
        <v>143</v>
      </c>
      <c r="BO18">
        <v>143.30000000000001</v>
      </c>
      <c r="BP18">
        <v>144.1</v>
      </c>
      <c r="BQ18">
        <v>144.69999999999999</v>
      </c>
      <c r="BR18">
        <v>145.1</v>
      </c>
      <c r="BS18">
        <v>145.80000000000001</v>
      </c>
      <c r="BT18">
        <v>146.1</v>
      </c>
      <c r="BU18">
        <v>144.5</v>
      </c>
      <c r="BV18">
        <v>145.5</v>
      </c>
      <c r="BW18">
        <v>145.9</v>
      </c>
      <c r="BX18">
        <v>145.1</v>
      </c>
      <c r="BY18">
        <v>146.1</v>
      </c>
      <c r="BZ18">
        <v>146.1</v>
      </c>
      <c r="CA18">
        <v>146.6</v>
      </c>
      <c r="CB18">
        <v>146.5</v>
      </c>
      <c r="CC18">
        <v>146.6</v>
      </c>
      <c r="CD18">
        <v>146.6</v>
      </c>
      <c r="CE18">
        <v>146.6</v>
      </c>
      <c r="CF18">
        <v>146.69999999999999</v>
      </c>
      <c r="CG18">
        <v>147</v>
      </c>
      <c r="CH18">
        <v>147.30000000000001</v>
      </c>
      <c r="CI18">
        <v>147.4</v>
      </c>
      <c r="CJ18">
        <v>147.5</v>
      </c>
      <c r="CK18">
        <v>147.6</v>
      </c>
      <c r="CL18" t="s">
        <v>43</v>
      </c>
      <c r="CM18" t="s">
        <v>43</v>
      </c>
      <c r="CN18">
        <v>150</v>
      </c>
      <c r="CO18">
        <v>150</v>
      </c>
      <c r="CP18">
        <v>149.30000000000001</v>
      </c>
      <c r="CQ18">
        <v>149.9</v>
      </c>
      <c r="CR18">
        <v>150.6</v>
      </c>
      <c r="CS18">
        <v>151</v>
      </c>
      <c r="CT18">
        <v>151.6</v>
      </c>
      <c r="CU18">
        <v>152.4</v>
      </c>
      <c r="CV18">
        <v>153.9</v>
      </c>
      <c r="CW18">
        <v>154.4</v>
      </c>
      <c r="CX18">
        <v>155.1</v>
      </c>
      <c r="CY18">
        <v>160.6</v>
      </c>
      <c r="CZ18">
        <v>159.9</v>
      </c>
      <c r="DA18">
        <v>161.1</v>
      </c>
      <c r="DB18">
        <v>162.6</v>
      </c>
      <c r="DC18">
        <v>163.6</v>
      </c>
      <c r="DD18">
        <v>164.8</v>
      </c>
      <c r="DE18">
        <v>166</v>
      </c>
      <c r="DF18">
        <v>167.3</v>
      </c>
      <c r="DG18">
        <v>169.3</v>
      </c>
      <c r="DH18">
        <v>171</v>
      </c>
      <c r="DI18">
        <v>173.2</v>
      </c>
      <c r="DJ18">
        <v>175.1</v>
      </c>
      <c r="DK18">
        <v>177.2</v>
      </c>
      <c r="DL18">
        <v>178.7</v>
      </c>
      <c r="DM18">
        <v>180.3</v>
      </c>
      <c r="DN18">
        <v>181.7</v>
      </c>
      <c r="DO18">
        <v>183.3</v>
      </c>
      <c r="DP18">
        <v>184.4</v>
      </c>
      <c r="DQ18">
        <v>185.2</v>
      </c>
      <c r="DR18">
        <v>185.9</v>
      </c>
      <c r="DS18">
        <v>186.3</v>
      </c>
      <c r="DT18">
        <v>187</v>
      </c>
      <c r="DU18">
        <v>187</v>
      </c>
      <c r="DV18">
        <v>187.3</v>
      </c>
      <c r="DW18">
        <v>187.9</v>
      </c>
    </row>
    <row r="19" spans="1:127" x14ac:dyDescent="0.3">
      <c r="A19" t="s">
        <v>33</v>
      </c>
      <c r="B19" t="str">
        <f>VLOOKUP(C19,'Broader Categories'!$A$1:$B$28,2,FALSE)</f>
        <v>Apparels</v>
      </c>
      <c r="C19" t="s">
        <v>20</v>
      </c>
      <c r="D19">
        <v>106.4</v>
      </c>
      <c r="E19">
        <v>107</v>
      </c>
      <c r="F19">
        <v>107.5</v>
      </c>
      <c r="G19">
        <v>108</v>
      </c>
      <c r="H19">
        <v>108.6</v>
      </c>
      <c r="I19">
        <v>109.5</v>
      </c>
      <c r="J19">
        <v>110.3</v>
      </c>
      <c r="K19">
        <v>111.1</v>
      </c>
      <c r="L19">
        <v>112.5</v>
      </c>
      <c r="M19">
        <v>113.4</v>
      </c>
      <c r="N19">
        <v>114.4</v>
      </c>
      <c r="O19">
        <v>115.5</v>
      </c>
      <c r="P19">
        <v>116.2</v>
      </c>
      <c r="Q19">
        <v>116.7</v>
      </c>
      <c r="R19">
        <v>117.2</v>
      </c>
      <c r="S19">
        <v>117.8</v>
      </c>
      <c r="T19">
        <v>118.5</v>
      </c>
      <c r="U19">
        <v>119.3</v>
      </c>
      <c r="V19">
        <v>120.3</v>
      </c>
      <c r="W19">
        <v>120.7</v>
      </c>
      <c r="X19">
        <v>121.3</v>
      </c>
      <c r="Y19">
        <v>122.3</v>
      </c>
      <c r="Z19">
        <v>122.9</v>
      </c>
      <c r="AA19">
        <v>123.3</v>
      </c>
      <c r="AB19">
        <v>124</v>
      </c>
      <c r="AC19">
        <v>125</v>
      </c>
      <c r="AD19">
        <v>125.5</v>
      </c>
      <c r="AE19">
        <v>126</v>
      </c>
      <c r="AF19">
        <v>126.8</v>
      </c>
      <c r="AG19">
        <v>128</v>
      </c>
      <c r="AH19">
        <v>128.30000000000001</v>
      </c>
      <c r="AI19">
        <v>129</v>
      </c>
      <c r="AJ19">
        <v>129.9</v>
      </c>
      <c r="AK19">
        <v>130.6</v>
      </c>
      <c r="AL19">
        <v>131.5</v>
      </c>
      <c r="AM19">
        <v>131.9</v>
      </c>
      <c r="AN19">
        <v>132.6</v>
      </c>
      <c r="AO19">
        <v>133.4</v>
      </c>
      <c r="AP19">
        <v>133.80000000000001</v>
      </c>
      <c r="AQ19">
        <v>134.4</v>
      </c>
      <c r="AR19">
        <v>134.80000000000001</v>
      </c>
      <c r="AS19">
        <v>135.6</v>
      </c>
      <c r="AT19">
        <v>136.5</v>
      </c>
      <c r="AU19">
        <v>137.1</v>
      </c>
      <c r="AV19">
        <v>137.80000000000001</v>
      </c>
      <c r="AW19">
        <v>138.80000000000001</v>
      </c>
      <c r="AX19">
        <v>139.19999999999999</v>
      </c>
      <c r="AY19">
        <v>139.69999999999999</v>
      </c>
      <c r="AZ19">
        <v>140</v>
      </c>
      <c r="BA19">
        <v>140.19999999999999</v>
      </c>
      <c r="BB19">
        <v>140.80000000000001</v>
      </c>
      <c r="BC19">
        <v>141.6</v>
      </c>
      <c r="BD19">
        <v>141.80000000000001</v>
      </c>
      <c r="BE19">
        <v>142.30000000000001</v>
      </c>
      <c r="BF19">
        <v>143.5</v>
      </c>
      <c r="BG19">
        <v>144.5</v>
      </c>
      <c r="BH19">
        <v>145.19999999999999</v>
      </c>
      <c r="BI19">
        <v>146.19999999999999</v>
      </c>
      <c r="BJ19">
        <v>147.30000000000001</v>
      </c>
      <c r="BK19">
        <v>147.19999999999999</v>
      </c>
      <c r="BL19">
        <v>147.5</v>
      </c>
      <c r="BM19">
        <v>147.80000000000001</v>
      </c>
      <c r="BN19">
        <v>148.30000000000001</v>
      </c>
      <c r="BO19">
        <v>149.1</v>
      </c>
      <c r="BP19">
        <v>149.80000000000001</v>
      </c>
      <c r="BQ19">
        <v>150.30000000000001</v>
      </c>
      <c r="BR19">
        <v>150.6</v>
      </c>
      <c r="BS19">
        <v>151.30000000000001</v>
      </c>
      <c r="BT19">
        <v>151.30000000000001</v>
      </c>
      <c r="BU19">
        <v>149.80000000000001</v>
      </c>
      <c r="BV19">
        <v>150.80000000000001</v>
      </c>
      <c r="BW19">
        <v>150.80000000000001</v>
      </c>
      <c r="BX19">
        <v>149.9</v>
      </c>
      <c r="BY19">
        <v>149.9</v>
      </c>
      <c r="BZ19">
        <v>150.1</v>
      </c>
      <c r="CA19">
        <v>150.69999999999999</v>
      </c>
      <c r="CB19">
        <v>150.69999999999999</v>
      </c>
      <c r="CC19">
        <v>150.9</v>
      </c>
      <c r="CD19">
        <v>151.1</v>
      </c>
      <c r="CE19">
        <v>151</v>
      </c>
      <c r="CF19">
        <v>151</v>
      </c>
      <c r="CG19">
        <v>151.5</v>
      </c>
      <c r="CH19">
        <v>151.9</v>
      </c>
      <c r="CI19">
        <v>152.1</v>
      </c>
      <c r="CJ19">
        <v>152.30000000000001</v>
      </c>
      <c r="CK19">
        <v>152.5</v>
      </c>
      <c r="CL19" t="s">
        <v>43</v>
      </c>
      <c r="CM19" t="s">
        <v>43</v>
      </c>
      <c r="CN19">
        <v>154.1</v>
      </c>
      <c r="CO19">
        <v>154.1</v>
      </c>
      <c r="CP19">
        <v>154.30000000000001</v>
      </c>
      <c r="CQ19">
        <v>154.6</v>
      </c>
      <c r="CR19">
        <v>155</v>
      </c>
      <c r="CS19">
        <v>155.5</v>
      </c>
      <c r="CT19">
        <v>156.30000000000001</v>
      </c>
      <c r="CU19">
        <v>156.80000000000001</v>
      </c>
      <c r="CV19">
        <v>158.4</v>
      </c>
      <c r="CW19">
        <v>158.9</v>
      </c>
      <c r="CX19">
        <v>159.9</v>
      </c>
      <c r="CY19">
        <v>164.5</v>
      </c>
      <c r="CZ19">
        <v>164.6</v>
      </c>
      <c r="DA19">
        <v>165.3</v>
      </c>
      <c r="DB19">
        <v>166.3</v>
      </c>
      <c r="DC19">
        <v>167.1</v>
      </c>
      <c r="DD19">
        <v>168.3</v>
      </c>
      <c r="DE19">
        <v>169.8</v>
      </c>
      <c r="DF19">
        <v>171.2</v>
      </c>
      <c r="DG19">
        <v>172.7</v>
      </c>
      <c r="DH19">
        <v>173.7</v>
      </c>
      <c r="DI19">
        <v>175.1</v>
      </c>
      <c r="DJ19">
        <v>177.1</v>
      </c>
      <c r="DK19">
        <v>179</v>
      </c>
      <c r="DL19">
        <v>180.4</v>
      </c>
      <c r="DM19">
        <v>181.7</v>
      </c>
      <c r="DN19">
        <v>183</v>
      </c>
      <c r="DO19">
        <v>184.5</v>
      </c>
      <c r="DP19">
        <v>185.9</v>
      </c>
      <c r="DQ19">
        <v>186.9</v>
      </c>
      <c r="DR19">
        <v>187.8</v>
      </c>
      <c r="DS19">
        <v>188.6</v>
      </c>
      <c r="DT19">
        <v>189.6</v>
      </c>
      <c r="DU19">
        <v>189.6</v>
      </c>
      <c r="DV19">
        <v>190.2</v>
      </c>
      <c r="DW19">
        <v>190.8</v>
      </c>
    </row>
    <row r="20" spans="1:127" x14ac:dyDescent="0.3">
      <c r="A20" t="s">
        <v>33</v>
      </c>
      <c r="B20" t="str">
        <f>VLOOKUP(C20,'Broader Categories'!$A$1:$B$28,2,FALSE)</f>
        <v>Home</v>
      </c>
      <c r="C20" t="s">
        <v>22</v>
      </c>
      <c r="D20" t="s">
        <v>43</v>
      </c>
      <c r="E20" t="s">
        <v>43</v>
      </c>
      <c r="F20" t="s">
        <v>43</v>
      </c>
      <c r="G20" t="s">
        <v>43</v>
      </c>
      <c r="H20" t="s">
        <v>43</v>
      </c>
      <c r="I20" t="s">
        <v>43</v>
      </c>
      <c r="J20" t="s">
        <v>43</v>
      </c>
      <c r="K20" t="s">
        <v>43</v>
      </c>
      <c r="L20" t="s">
        <v>43</v>
      </c>
      <c r="M20" t="s">
        <v>43</v>
      </c>
      <c r="N20" t="s">
        <v>43</v>
      </c>
      <c r="O20" t="s">
        <v>43</v>
      </c>
      <c r="P20" t="s">
        <v>43</v>
      </c>
      <c r="Q20" t="s">
        <v>43</v>
      </c>
      <c r="R20" t="s">
        <v>43</v>
      </c>
      <c r="S20" t="s">
        <v>43</v>
      </c>
      <c r="T20" t="s">
        <v>43</v>
      </c>
      <c r="U20" t="s">
        <v>43</v>
      </c>
      <c r="V20" t="s">
        <v>43</v>
      </c>
      <c r="W20" t="s">
        <v>43</v>
      </c>
      <c r="X20" t="s">
        <v>43</v>
      </c>
      <c r="Y20" t="s">
        <v>43</v>
      </c>
      <c r="Z20" t="s">
        <v>43</v>
      </c>
      <c r="AA20" t="s">
        <v>43</v>
      </c>
      <c r="AB20" t="s">
        <v>43</v>
      </c>
      <c r="AC20" t="s">
        <v>43</v>
      </c>
      <c r="AD20" t="s">
        <v>43</v>
      </c>
      <c r="AE20" t="s">
        <v>43</v>
      </c>
      <c r="AF20" t="s">
        <v>43</v>
      </c>
      <c r="AG20" t="s">
        <v>43</v>
      </c>
      <c r="AH20" t="s">
        <v>43</v>
      </c>
      <c r="AI20" t="s">
        <v>43</v>
      </c>
      <c r="AJ20" t="s">
        <v>43</v>
      </c>
      <c r="AK20" t="s">
        <v>43</v>
      </c>
      <c r="AL20" t="s">
        <v>43</v>
      </c>
      <c r="AM20" t="s">
        <v>43</v>
      </c>
      <c r="AN20" t="s">
        <v>43</v>
      </c>
      <c r="AO20" t="s">
        <v>43</v>
      </c>
      <c r="AP20" t="s">
        <v>43</v>
      </c>
      <c r="AQ20" t="s">
        <v>43</v>
      </c>
      <c r="AR20" t="s">
        <v>43</v>
      </c>
      <c r="AS20" t="s">
        <v>43</v>
      </c>
      <c r="AT20" t="s">
        <v>43</v>
      </c>
      <c r="AU20" t="s">
        <v>43</v>
      </c>
      <c r="AV20" t="s">
        <v>43</v>
      </c>
      <c r="AW20" t="s">
        <v>43</v>
      </c>
      <c r="AX20" t="s">
        <v>43</v>
      </c>
      <c r="AY20" t="s">
        <v>43</v>
      </c>
      <c r="AZ20" t="s">
        <v>43</v>
      </c>
      <c r="BA20" t="s">
        <v>43</v>
      </c>
      <c r="BB20" t="s">
        <v>43</v>
      </c>
      <c r="BC20" t="s">
        <v>43</v>
      </c>
      <c r="BD20" t="s">
        <v>43</v>
      </c>
      <c r="BE20" t="s">
        <v>43</v>
      </c>
      <c r="BF20" t="s">
        <v>43</v>
      </c>
      <c r="BG20" t="s">
        <v>43</v>
      </c>
      <c r="BH20" t="s">
        <v>43</v>
      </c>
      <c r="BI20" t="s">
        <v>43</v>
      </c>
      <c r="BJ20" t="s">
        <v>43</v>
      </c>
      <c r="BK20" t="s">
        <v>43</v>
      </c>
      <c r="BL20" t="s">
        <v>43</v>
      </c>
      <c r="BM20" t="s">
        <v>43</v>
      </c>
      <c r="BN20" t="s">
        <v>43</v>
      </c>
      <c r="BO20" t="s">
        <v>43</v>
      </c>
      <c r="BP20" t="s">
        <v>43</v>
      </c>
      <c r="BQ20" t="s">
        <v>43</v>
      </c>
      <c r="BR20" t="s">
        <v>43</v>
      </c>
      <c r="BS20" t="s">
        <v>43</v>
      </c>
      <c r="BT20" t="s">
        <v>43</v>
      </c>
      <c r="BU20" t="s">
        <v>43</v>
      </c>
      <c r="BV20" t="s">
        <v>43</v>
      </c>
      <c r="BW20" t="s">
        <v>43</v>
      </c>
      <c r="BX20" t="s">
        <v>43</v>
      </c>
      <c r="BY20" t="s">
        <v>43</v>
      </c>
      <c r="BZ20" t="s">
        <v>43</v>
      </c>
      <c r="CA20" t="s">
        <v>43</v>
      </c>
      <c r="CB20" t="s">
        <v>43</v>
      </c>
      <c r="CC20" t="s">
        <v>43</v>
      </c>
      <c r="CD20" t="s">
        <v>43</v>
      </c>
      <c r="CE20" t="s">
        <v>43</v>
      </c>
      <c r="CF20" t="s">
        <v>43</v>
      </c>
      <c r="CG20" t="s">
        <v>43</v>
      </c>
      <c r="CH20" t="s">
        <v>43</v>
      </c>
      <c r="CI20" t="s">
        <v>43</v>
      </c>
      <c r="CJ20" t="s">
        <v>43</v>
      </c>
      <c r="CK20" t="s">
        <v>43</v>
      </c>
      <c r="CL20" t="s">
        <v>43</v>
      </c>
      <c r="CM20" t="s">
        <v>43</v>
      </c>
      <c r="CN20" t="s">
        <v>43</v>
      </c>
      <c r="CO20" t="s">
        <v>43</v>
      </c>
      <c r="CP20" t="s">
        <v>43</v>
      </c>
      <c r="CQ20" t="s">
        <v>43</v>
      </c>
      <c r="CR20" t="s">
        <v>43</v>
      </c>
      <c r="CS20" t="s">
        <v>43</v>
      </c>
      <c r="CT20" t="s">
        <v>43</v>
      </c>
      <c r="CU20" t="s">
        <v>43</v>
      </c>
      <c r="CV20" t="s">
        <v>43</v>
      </c>
      <c r="CW20" t="s">
        <v>35</v>
      </c>
      <c r="CX20" t="s">
        <v>35</v>
      </c>
      <c r="CY20" t="s">
        <v>43</v>
      </c>
      <c r="CZ20" t="s">
        <v>43</v>
      </c>
      <c r="DA20" t="s">
        <v>43</v>
      </c>
      <c r="DB20" t="s">
        <v>43</v>
      </c>
      <c r="DC20" t="s">
        <v>43</v>
      </c>
      <c r="DD20" t="s">
        <v>43</v>
      </c>
      <c r="DE20" t="s">
        <v>43</v>
      </c>
      <c r="DF20" t="s">
        <v>43</v>
      </c>
      <c r="DG20" t="s">
        <v>43</v>
      </c>
      <c r="DH20" t="s">
        <v>43</v>
      </c>
      <c r="DI20" t="s">
        <v>43</v>
      </c>
      <c r="DJ20" t="s">
        <v>43</v>
      </c>
      <c r="DK20" t="s">
        <v>43</v>
      </c>
      <c r="DL20" t="s">
        <v>43</v>
      </c>
      <c r="DM20" t="s">
        <v>43</v>
      </c>
      <c r="DN20" t="s">
        <v>43</v>
      </c>
      <c r="DO20" t="s">
        <v>43</v>
      </c>
      <c r="DP20" t="s">
        <v>43</v>
      </c>
      <c r="DQ20" t="s">
        <v>43</v>
      </c>
      <c r="DR20" t="s">
        <v>43</v>
      </c>
      <c r="DS20" t="s">
        <v>43</v>
      </c>
      <c r="DT20" t="s">
        <v>43</v>
      </c>
      <c r="DU20" t="s">
        <v>43</v>
      </c>
      <c r="DV20" t="s">
        <v>35</v>
      </c>
      <c r="DW20" t="s">
        <v>35</v>
      </c>
    </row>
    <row r="21" spans="1:127" x14ac:dyDescent="0.3">
      <c r="A21" t="s">
        <v>33</v>
      </c>
      <c r="B21" t="str">
        <f>VLOOKUP(C21,'Broader Categories'!$A$1:$B$28,2,FALSE)</f>
        <v>Home</v>
      </c>
      <c r="C21" t="s">
        <v>23</v>
      </c>
      <c r="D21">
        <v>105.5</v>
      </c>
      <c r="E21">
        <v>106.2</v>
      </c>
      <c r="F21">
        <v>106.1</v>
      </c>
      <c r="G21">
        <v>106.5</v>
      </c>
      <c r="H21">
        <v>107.5</v>
      </c>
      <c r="I21">
        <v>108.5</v>
      </c>
      <c r="J21">
        <v>109.5</v>
      </c>
      <c r="K21">
        <v>109.9</v>
      </c>
      <c r="L21">
        <v>111.1</v>
      </c>
      <c r="M21">
        <v>111.6</v>
      </c>
      <c r="N21">
        <v>112.6</v>
      </c>
      <c r="O21">
        <v>112.8</v>
      </c>
      <c r="P21">
        <v>113</v>
      </c>
      <c r="Q21">
        <v>113.2</v>
      </c>
      <c r="R21">
        <v>113.4</v>
      </c>
      <c r="S21">
        <v>113.4</v>
      </c>
      <c r="T21">
        <v>113.4</v>
      </c>
      <c r="U21">
        <v>114.4</v>
      </c>
      <c r="V21">
        <v>115.3</v>
      </c>
      <c r="W21">
        <v>115.4</v>
      </c>
      <c r="X21">
        <v>115.8</v>
      </c>
      <c r="Y21">
        <v>116.4</v>
      </c>
      <c r="Z21">
        <v>117.3</v>
      </c>
      <c r="AA21">
        <v>117.4</v>
      </c>
      <c r="AB21">
        <v>118.4</v>
      </c>
      <c r="AC21">
        <v>120</v>
      </c>
      <c r="AD21">
        <v>120.6</v>
      </c>
      <c r="AE21">
        <v>121.2</v>
      </c>
      <c r="AF21">
        <v>121.9</v>
      </c>
      <c r="AG21">
        <v>122.6</v>
      </c>
      <c r="AH21">
        <v>123</v>
      </c>
      <c r="AI21">
        <v>123.8</v>
      </c>
      <c r="AJ21">
        <v>123.7</v>
      </c>
      <c r="AK21">
        <v>124.4</v>
      </c>
      <c r="AL21">
        <v>125.6</v>
      </c>
      <c r="AM21">
        <v>125.7</v>
      </c>
      <c r="AN21">
        <v>126.2</v>
      </c>
      <c r="AO21">
        <v>127.5</v>
      </c>
      <c r="AP21">
        <v>127</v>
      </c>
      <c r="AQ21">
        <v>127</v>
      </c>
      <c r="AR21">
        <v>127.4</v>
      </c>
      <c r="AS21">
        <v>128</v>
      </c>
      <c r="AT21">
        <v>128.19999999999999</v>
      </c>
      <c r="AU21">
        <v>129.1</v>
      </c>
      <c r="AV21">
        <v>129.69999999999999</v>
      </c>
      <c r="AW21">
        <v>129.80000000000001</v>
      </c>
      <c r="AX21">
        <v>130.30000000000001</v>
      </c>
      <c r="AY21">
        <v>132</v>
      </c>
      <c r="AZ21">
        <v>132.1</v>
      </c>
      <c r="BA21">
        <v>133.19999999999999</v>
      </c>
      <c r="BB21">
        <v>134.19999999999999</v>
      </c>
      <c r="BC21">
        <v>135</v>
      </c>
      <c r="BD21">
        <v>135</v>
      </c>
      <c r="BE21">
        <v>134.80000000000001</v>
      </c>
      <c r="BF21">
        <v>135.30000000000001</v>
      </c>
      <c r="BG21">
        <v>136.4</v>
      </c>
      <c r="BH21">
        <v>137.4</v>
      </c>
      <c r="BI21">
        <v>138.1</v>
      </c>
      <c r="BJ21">
        <v>141.1</v>
      </c>
      <c r="BK21">
        <v>142.6</v>
      </c>
      <c r="BL21">
        <v>142.30000000000001</v>
      </c>
      <c r="BM21">
        <v>142.4</v>
      </c>
      <c r="BN21">
        <v>142.6</v>
      </c>
      <c r="BO21">
        <v>143.80000000000001</v>
      </c>
      <c r="BP21">
        <v>144.30000000000001</v>
      </c>
      <c r="BQ21">
        <v>145.1</v>
      </c>
      <c r="BR21">
        <v>146.80000000000001</v>
      </c>
      <c r="BS21">
        <v>147.69999999999999</v>
      </c>
      <c r="BT21">
        <v>149</v>
      </c>
      <c r="BU21">
        <v>149.69999999999999</v>
      </c>
      <c r="BV21">
        <v>150.30000000000001</v>
      </c>
      <c r="BW21">
        <v>149</v>
      </c>
      <c r="BX21">
        <v>146.19999999999999</v>
      </c>
      <c r="BY21">
        <v>145.30000000000001</v>
      </c>
      <c r="BZ21">
        <v>146.4</v>
      </c>
      <c r="CA21">
        <v>146.9</v>
      </c>
      <c r="CB21">
        <v>147.80000000000001</v>
      </c>
      <c r="CC21">
        <v>146.80000000000001</v>
      </c>
      <c r="CD21">
        <v>146.4</v>
      </c>
      <c r="CE21">
        <v>146.9</v>
      </c>
      <c r="CF21">
        <v>147.69999999999999</v>
      </c>
      <c r="CG21">
        <v>148.4</v>
      </c>
      <c r="CH21">
        <v>149.9</v>
      </c>
      <c r="CI21">
        <v>150.4</v>
      </c>
      <c r="CJ21">
        <v>152.30000000000001</v>
      </c>
      <c r="CK21">
        <v>153.4</v>
      </c>
      <c r="CL21">
        <v>148.4</v>
      </c>
      <c r="CM21" t="s">
        <v>43</v>
      </c>
      <c r="CN21">
        <v>144.9</v>
      </c>
      <c r="CO21">
        <v>144.9</v>
      </c>
      <c r="CP21">
        <v>145.80000000000001</v>
      </c>
      <c r="CQ21">
        <v>146.4</v>
      </c>
      <c r="CR21">
        <v>146.80000000000001</v>
      </c>
      <c r="CS21">
        <v>147.5</v>
      </c>
      <c r="CT21">
        <v>148.69999999999999</v>
      </c>
      <c r="CU21">
        <v>150.9</v>
      </c>
      <c r="CV21">
        <v>154.4</v>
      </c>
      <c r="CW21">
        <v>156</v>
      </c>
      <c r="CX21">
        <v>156</v>
      </c>
      <c r="CY21">
        <v>161.69999999999999</v>
      </c>
      <c r="CZ21">
        <v>162.1</v>
      </c>
      <c r="DA21">
        <v>162.5</v>
      </c>
      <c r="DB21">
        <v>163.1</v>
      </c>
      <c r="DC21">
        <v>163.69999999999999</v>
      </c>
      <c r="DD21">
        <v>165.5</v>
      </c>
      <c r="DE21">
        <v>165.3</v>
      </c>
      <c r="DF21">
        <v>165.6</v>
      </c>
      <c r="DG21">
        <v>165.8</v>
      </c>
      <c r="DH21">
        <v>167.4</v>
      </c>
      <c r="DI21">
        <v>168.9</v>
      </c>
      <c r="DJ21">
        <v>173.3</v>
      </c>
      <c r="DK21">
        <v>175.3</v>
      </c>
      <c r="DL21">
        <v>176.7</v>
      </c>
      <c r="DM21">
        <v>179.6</v>
      </c>
      <c r="DN21">
        <v>179.1</v>
      </c>
      <c r="DO21">
        <v>179.7</v>
      </c>
      <c r="DP21">
        <v>180.8</v>
      </c>
      <c r="DQ21">
        <v>181.9</v>
      </c>
      <c r="DR21">
        <v>182.8</v>
      </c>
      <c r="DS21">
        <v>183.2</v>
      </c>
      <c r="DT21">
        <v>181.6</v>
      </c>
      <c r="DU21">
        <v>181.4</v>
      </c>
      <c r="DV21">
        <v>181.5</v>
      </c>
      <c r="DW21">
        <v>182.5</v>
      </c>
    </row>
    <row r="22" spans="1:127" x14ac:dyDescent="0.3">
      <c r="A22" t="s">
        <v>33</v>
      </c>
      <c r="B22" t="str">
        <f>VLOOKUP(C22,'Broader Categories'!$A$1:$B$28,2,FALSE)</f>
        <v>Home</v>
      </c>
      <c r="C22" t="s">
        <v>24</v>
      </c>
      <c r="D22">
        <v>104.8</v>
      </c>
      <c r="E22">
        <v>105.2</v>
      </c>
      <c r="F22">
        <v>105.6</v>
      </c>
      <c r="G22">
        <v>106.1</v>
      </c>
      <c r="H22">
        <v>106.8</v>
      </c>
      <c r="I22">
        <v>107.5</v>
      </c>
      <c r="J22">
        <v>108.3</v>
      </c>
      <c r="K22">
        <v>108.7</v>
      </c>
      <c r="L22">
        <v>109.6</v>
      </c>
      <c r="M22">
        <v>110.4</v>
      </c>
      <c r="N22">
        <v>111.3</v>
      </c>
      <c r="O22">
        <v>112.1</v>
      </c>
      <c r="P22">
        <v>112.6</v>
      </c>
      <c r="Q22">
        <v>112.9</v>
      </c>
      <c r="R22">
        <v>113.4</v>
      </c>
      <c r="S22">
        <v>113.7</v>
      </c>
      <c r="T22">
        <v>114.1</v>
      </c>
      <c r="U22">
        <v>114.9</v>
      </c>
      <c r="V22">
        <v>115.4</v>
      </c>
      <c r="W22">
        <v>115.9</v>
      </c>
      <c r="X22">
        <v>116.7</v>
      </c>
      <c r="Y22">
        <v>117.5</v>
      </c>
      <c r="Z22">
        <v>118.1</v>
      </c>
      <c r="AA22">
        <v>118.2</v>
      </c>
      <c r="AB22">
        <v>118.9</v>
      </c>
      <c r="AC22">
        <v>119.6</v>
      </c>
      <c r="AD22">
        <v>120.2</v>
      </c>
      <c r="AE22">
        <v>120.9</v>
      </c>
      <c r="AF22">
        <v>121.5</v>
      </c>
      <c r="AG22">
        <v>122.8</v>
      </c>
      <c r="AH22">
        <v>123</v>
      </c>
      <c r="AI22">
        <v>123.7</v>
      </c>
      <c r="AJ22">
        <v>124.5</v>
      </c>
      <c r="AK22">
        <v>125.1</v>
      </c>
      <c r="AL22">
        <v>125.6</v>
      </c>
      <c r="AM22">
        <v>126</v>
      </c>
      <c r="AN22">
        <v>126.6</v>
      </c>
      <c r="AO22">
        <v>127.1</v>
      </c>
      <c r="AP22">
        <v>127.7</v>
      </c>
      <c r="AQ22">
        <v>128</v>
      </c>
      <c r="AR22">
        <v>128.5</v>
      </c>
      <c r="AS22">
        <v>129.30000000000001</v>
      </c>
      <c r="AT22">
        <v>130</v>
      </c>
      <c r="AU22">
        <v>130.6</v>
      </c>
      <c r="AV22">
        <v>131.1</v>
      </c>
      <c r="AW22">
        <v>131.80000000000001</v>
      </c>
      <c r="AX22">
        <v>132.1</v>
      </c>
      <c r="AY22">
        <v>132.9</v>
      </c>
      <c r="AZ22">
        <v>133.19999999999999</v>
      </c>
      <c r="BA22">
        <v>133.6</v>
      </c>
      <c r="BB22">
        <v>134.1</v>
      </c>
      <c r="BC22">
        <v>134.30000000000001</v>
      </c>
      <c r="BD22">
        <v>134.9</v>
      </c>
      <c r="BE22">
        <v>135.19999999999999</v>
      </c>
      <c r="BF22">
        <v>136.1</v>
      </c>
      <c r="BG22">
        <v>137.30000000000001</v>
      </c>
      <c r="BH22">
        <v>137.9</v>
      </c>
      <c r="BI22">
        <v>138.4</v>
      </c>
      <c r="BJ22">
        <v>139.4</v>
      </c>
      <c r="BK22">
        <v>139.5</v>
      </c>
      <c r="BL22">
        <v>139.80000000000001</v>
      </c>
      <c r="BM22">
        <v>139.9</v>
      </c>
      <c r="BN22">
        <v>139.9</v>
      </c>
      <c r="BO22">
        <v>140.9</v>
      </c>
      <c r="BP22">
        <v>141.80000000000001</v>
      </c>
      <c r="BQ22">
        <v>142.19999999999999</v>
      </c>
      <c r="BR22">
        <v>143.1</v>
      </c>
      <c r="BS22">
        <v>143.80000000000001</v>
      </c>
      <c r="BT22">
        <v>144</v>
      </c>
      <c r="BU22">
        <v>147.5</v>
      </c>
      <c r="BV22">
        <v>148</v>
      </c>
      <c r="BW22">
        <v>149.5</v>
      </c>
      <c r="BX22">
        <v>150.1</v>
      </c>
      <c r="BY22">
        <v>150.1</v>
      </c>
      <c r="BZ22">
        <v>150</v>
      </c>
      <c r="CA22">
        <v>149.5</v>
      </c>
      <c r="CB22">
        <v>149.6</v>
      </c>
      <c r="CC22">
        <v>150</v>
      </c>
      <c r="CD22">
        <v>150.19999999999999</v>
      </c>
      <c r="CE22">
        <v>150.30000000000001</v>
      </c>
      <c r="CF22">
        <v>150.6</v>
      </c>
      <c r="CG22">
        <v>150.9</v>
      </c>
      <c r="CH22">
        <v>151.19999999999999</v>
      </c>
      <c r="CI22">
        <v>151.69999999999999</v>
      </c>
      <c r="CJ22">
        <v>151.80000000000001</v>
      </c>
      <c r="CK22">
        <v>151.5</v>
      </c>
      <c r="CL22" t="s">
        <v>43</v>
      </c>
      <c r="CM22" t="s">
        <v>43</v>
      </c>
      <c r="CN22">
        <v>151.69999999999999</v>
      </c>
      <c r="CO22">
        <v>151.69999999999999</v>
      </c>
      <c r="CP22">
        <v>151.9</v>
      </c>
      <c r="CQ22">
        <v>151.6</v>
      </c>
      <c r="CR22">
        <v>152</v>
      </c>
      <c r="CS22">
        <v>152.80000000000001</v>
      </c>
      <c r="CT22">
        <v>153.4</v>
      </c>
      <c r="CU22">
        <v>153.9</v>
      </c>
      <c r="CV22">
        <v>154.80000000000001</v>
      </c>
      <c r="CW22">
        <v>154.80000000000001</v>
      </c>
      <c r="CX22">
        <v>155.5</v>
      </c>
      <c r="CY22">
        <v>158.80000000000001</v>
      </c>
      <c r="CZ22">
        <v>159.19999999999999</v>
      </c>
      <c r="DA22">
        <v>160.30000000000001</v>
      </c>
      <c r="DB22">
        <v>160.9</v>
      </c>
      <c r="DC22">
        <v>161.30000000000001</v>
      </c>
      <c r="DD22">
        <v>162</v>
      </c>
      <c r="DE22">
        <v>162.9</v>
      </c>
      <c r="DF22">
        <v>163.9</v>
      </c>
      <c r="DG22">
        <v>164.9</v>
      </c>
      <c r="DH22">
        <v>165.7</v>
      </c>
      <c r="DI22">
        <v>166.5</v>
      </c>
      <c r="DJ22">
        <v>167.7</v>
      </c>
      <c r="DK22">
        <v>168.9</v>
      </c>
      <c r="DL22">
        <v>170.3</v>
      </c>
      <c r="DM22">
        <v>171.3</v>
      </c>
      <c r="DN22">
        <v>172.3</v>
      </c>
      <c r="DO22">
        <v>173.6</v>
      </c>
      <c r="DP22">
        <v>174.4</v>
      </c>
      <c r="DQ22">
        <v>175.5</v>
      </c>
      <c r="DR22">
        <v>176.4</v>
      </c>
      <c r="DS22">
        <v>177.2</v>
      </c>
      <c r="DT22">
        <v>178.6</v>
      </c>
      <c r="DU22">
        <v>178.6</v>
      </c>
      <c r="DV22">
        <v>179.1</v>
      </c>
      <c r="DW22">
        <v>179.8</v>
      </c>
    </row>
    <row r="23" spans="1:127" x14ac:dyDescent="0.3">
      <c r="A23" t="s">
        <v>33</v>
      </c>
      <c r="B23" t="str">
        <f>VLOOKUP(C23,'Broader Categories'!$A$1:$B$28,2,FALSE)</f>
        <v>Health</v>
      </c>
      <c r="C23" t="s">
        <v>26</v>
      </c>
      <c r="D23">
        <v>104</v>
      </c>
      <c r="E23">
        <v>104.4</v>
      </c>
      <c r="F23">
        <v>104.7</v>
      </c>
      <c r="G23">
        <v>105.1</v>
      </c>
      <c r="H23">
        <v>105.7</v>
      </c>
      <c r="I23">
        <v>106.3</v>
      </c>
      <c r="J23">
        <v>106.9</v>
      </c>
      <c r="K23">
        <v>107.5</v>
      </c>
      <c r="L23">
        <v>108.3</v>
      </c>
      <c r="M23">
        <v>108.9</v>
      </c>
      <c r="N23">
        <v>109.7</v>
      </c>
      <c r="O23">
        <v>110.1</v>
      </c>
      <c r="P23">
        <v>110.6</v>
      </c>
      <c r="Q23">
        <v>110.9</v>
      </c>
      <c r="R23">
        <v>111.4</v>
      </c>
      <c r="S23">
        <v>111.8</v>
      </c>
      <c r="T23">
        <v>112.1</v>
      </c>
      <c r="U23">
        <v>112.8</v>
      </c>
      <c r="V23">
        <v>113.4</v>
      </c>
      <c r="W23">
        <v>114</v>
      </c>
      <c r="X23">
        <v>114.5</v>
      </c>
      <c r="Y23">
        <v>115.3</v>
      </c>
      <c r="Z23">
        <v>115.9</v>
      </c>
      <c r="AA23">
        <v>116.2</v>
      </c>
      <c r="AB23">
        <v>116.6</v>
      </c>
      <c r="AC23">
        <v>117.7</v>
      </c>
      <c r="AD23">
        <v>118.2</v>
      </c>
      <c r="AE23">
        <v>118.6</v>
      </c>
      <c r="AF23">
        <v>119.4</v>
      </c>
      <c r="AG23">
        <v>120.4</v>
      </c>
      <c r="AH23">
        <v>120.8</v>
      </c>
      <c r="AI23">
        <v>121.1</v>
      </c>
      <c r="AJ23">
        <v>121.4</v>
      </c>
      <c r="AK23">
        <v>122</v>
      </c>
      <c r="AL23">
        <v>122.6</v>
      </c>
      <c r="AM23">
        <v>123.1</v>
      </c>
      <c r="AN23">
        <v>123.7</v>
      </c>
      <c r="AO23">
        <v>124.3</v>
      </c>
      <c r="AP23">
        <v>124.8</v>
      </c>
      <c r="AQ23">
        <v>125.2</v>
      </c>
      <c r="AR23">
        <v>125.8</v>
      </c>
      <c r="AS23">
        <v>126.2</v>
      </c>
      <c r="AT23">
        <v>126.7</v>
      </c>
      <c r="AU23">
        <v>127</v>
      </c>
      <c r="AV23">
        <v>127.8</v>
      </c>
      <c r="AW23">
        <v>128.69999999999999</v>
      </c>
      <c r="AX23">
        <v>129.1</v>
      </c>
      <c r="AY23">
        <v>129.69999999999999</v>
      </c>
      <c r="AZ23">
        <v>129.9</v>
      </c>
      <c r="BA23">
        <v>130.1</v>
      </c>
      <c r="BB23">
        <v>130.6</v>
      </c>
      <c r="BC23">
        <v>131</v>
      </c>
      <c r="BD23">
        <v>131.4</v>
      </c>
      <c r="BE23">
        <v>131.30000000000001</v>
      </c>
      <c r="BF23">
        <v>132.1</v>
      </c>
      <c r="BG23">
        <v>133</v>
      </c>
      <c r="BH23">
        <v>133.4</v>
      </c>
      <c r="BI23">
        <v>134.19999999999999</v>
      </c>
      <c r="BJ23">
        <v>135.80000000000001</v>
      </c>
      <c r="BK23">
        <v>136.1</v>
      </c>
      <c r="BL23">
        <v>136</v>
      </c>
      <c r="BM23">
        <v>136.19999999999999</v>
      </c>
      <c r="BN23">
        <v>136.69999999999999</v>
      </c>
      <c r="BO23">
        <v>137.6</v>
      </c>
      <c r="BP23">
        <v>138.4</v>
      </c>
      <c r="BQ23">
        <v>138.4</v>
      </c>
      <c r="BR23">
        <v>139</v>
      </c>
      <c r="BS23">
        <v>139.4</v>
      </c>
      <c r="BT23">
        <v>140</v>
      </c>
      <c r="BU23">
        <v>144.80000000000001</v>
      </c>
      <c r="BV23">
        <v>145.4</v>
      </c>
      <c r="BW23">
        <v>149.6</v>
      </c>
      <c r="BX23">
        <v>149.6</v>
      </c>
      <c r="BY23">
        <v>149.9</v>
      </c>
      <c r="BZ23">
        <v>150.4</v>
      </c>
      <c r="CA23">
        <v>151.30000000000001</v>
      </c>
      <c r="CB23">
        <v>151.69999999999999</v>
      </c>
      <c r="CC23">
        <v>152.19999999999999</v>
      </c>
      <c r="CD23">
        <v>152.69999999999999</v>
      </c>
      <c r="CE23">
        <v>153.4</v>
      </c>
      <c r="CF23">
        <v>153.69999999999999</v>
      </c>
      <c r="CG23">
        <v>154.30000000000001</v>
      </c>
      <c r="CH23">
        <v>154.80000000000001</v>
      </c>
      <c r="CI23">
        <v>155.69999999999999</v>
      </c>
      <c r="CJ23">
        <v>156.19999999999999</v>
      </c>
      <c r="CK23">
        <v>156.69999999999999</v>
      </c>
      <c r="CL23">
        <v>154.30000000000001</v>
      </c>
      <c r="CM23" t="s">
        <v>43</v>
      </c>
      <c r="CN23">
        <v>158.19999999999999</v>
      </c>
      <c r="CO23">
        <v>158.19999999999999</v>
      </c>
      <c r="CP23">
        <v>158.80000000000001</v>
      </c>
      <c r="CQ23">
        <v>159.1</v>
      </c>
      <c r="CR23">
        <v>159.5</v>
      </c>
      <c r="CS23">
        <v>160.4</v>
      </c>
      <c r="CT23">
        <v>161.6</v>
      </c>
      <c r="CU23">
        <v>162.5</v>
      </c>
      <c r="CV23">
        <v>164.3</v>
      </c>
      <c r="CW23">
        <v>164.6</v>
      </c>
      <c r="CX23">
        <v>165.3</v>
      </c>
      <c r="CY23">
        <v>169.1</v>
      </c>
      <c r="CZ23">
        <v>169.7</v>
      </c>
      <c r="DA23">
        <v>170.4</v>
      </c>
      <c r="DB23">
        <v>171.1</v>
      </c>
      <c r="DC23">
        <v>171.9</v>
      </c>
      <c r="DD23">
        <v>172.5</v>
      </c>
      <c r="DE23">
        <v>173.4</v>
      </c>
      <c r="DF23">
        <v>174</v>
      </c>
      <c r="DG23">
        <v>174.7</v>
      </c>
      <c r="DH23">
        <v>175.3</v>
      </c>
      <c r="DI23">
        <v>176</v>
      </c>
      <c r="DJ23">
        <v>177</v>
      </c>
      <c r="DK23">
        <v>177.7</v>
      </c>
      <c r="DL23">
        <v>178.2</v>
      </c>
      <c r="DM23">
        <v>178.8</v>
      </c>
      <c r="DN23">
        <v>179.4</v>
      </c>
      <c r="DO23">
        <v>180.2</v>
      </c>
      <c r="DP23">
        <v>181.2</v>
      </c>
      <c r="DQ23">
        <v>182.3</v>
      </c>
      <c r="DR23">
        <v>183.5</v>
      </c>
      <c r="DS23">
        <v>184.7</v>
      </c>
      <c r="DT23">
        <v>186.6</v>
      </c>
      <c r="DU23">
        <v>186.6</v>
      </c>
      <c r="DV23">
        <v>187.2</v>
      </c>
      <c r="DW23">
        <v>187.8</v>
      </c>
    </row>
    <row r="24" spans="1:127" x14ac:dyDescent="0.3">
      <c r="A24" t="s">
        <v>33</v>
      </c>
      <c r="B24" t="str">
        <f>VLOOKUP(C24,'Broader Categories'!$A$1:$B$28,2,FALSE)</f>
        <v>Transport</v>
      </c>
      <c r="C24" t="s">
        <v>27</v>
      </c>
      <c r="D24">
        <v>103.3</v>
      </c>
      <c r="E24">
        <v>103.9</v>
      </c>
      <c r="F24">
        <v>104.6</v>
      </c>
      <c r="G24">
        <v>104.4</v>
      </c>
      <c r="H24">
        <v>104.1</v>
      </c>
      <c r="I24">
        <v>105</v>
      </c>
      <c r="J24">
        <v>106.8</v>
      </c>
      <c r="K24">
        <v>107.8</v>
      </c>
      <c r="L24">
        <v>109.3</v>
      </c>
      <c r="M24">
        <v>109.3</v>
      </c>
      <c r="N24">
        <v>109.6</v>
      </c>
      <c r="O24">
        <v>109.9</v>
      </c>
      <c r="P24">
        <v>110.5</v>
      </c>
      <c r="Q24">
        <v>110.8</v>
      </c>
      <c r="R24">
        <v>111.2</v>
      </c>
      <c r="S24">
        <v>111.2</v>
      </c>
      <c r="T24">
        <v>111.4</v>
      </c>
      <c r="U24">
        <v>112.2</v>
      </c>
      <c r="V24">
        <v>113.2</v>
      </c>
      <c r="W24">
        <v>113.2</v>
      </c>
      <c r="X24">
        <v>112.8</v>
      </c>
      <c r="Y24">
        <v>112.6</v>
      </c>
      <c r="Z24">
        <v>112</v>
      </c>
      <c r="AA24">
        <v>111.5</v>
      </c>
      <c r="AB24">
        <v>111</v>
      </c>
      <c r="AC24">
        <v>110.9</v>
      </c>
      <c r="AD24">
        <v>111.6</v>
      </c>
      <c r="AE24">
        <v>111.9</v>
      </c>
      <c r="AF24">
        <v>113.3</v>
      </c>
      <c r="AG24">
        <v>114.2</v>
      </c>
      <c r="AH24">
        <v>114.1</v>
      </c>
      <c r="AI24">
        <v>113.6</v>
      </c>
      <c r="AJ24">
        <v>113.8</v>
      </c>
      <c r="AK24">
        <v>113.8</v>
      </c>
      <c r="AL24">
        <v>114</v>
      </c>
      <c r="AM24">
        <v>114</v>
      </c>
      <c r="AN24">
        <v>113.6</v>
      </c>
      <c r="AO24">
        <v>113.9</v>
      </c>
      <c r="AP24">
        <v>113.6</v>
      </c>
      <c r="AQ24">
        <v>114.4</v>
      </c>
      <c r="AR24">
        <v>115.1</v>
      </c>
      <c r="AS24">
        <v>116.3</v>
      </c>
      <c r="AT24">
        <v>116.4</v>
      </c>
      <c r="AU24">
        <v>116</v>
      </c>
      <c r="AV24">
        <v>117</v>
      </c>
      <c r="AW24">
        <v>117.8</v>
      </c>
      <c r="AX24">
        <v>118.2</v>
      </c>
      <c r="AY24">
        <v>118.6</v>
      </c>
      <c r="AZ24">
        <v>119.1</v>
      </c>
      <c r="BA24">
        <v>119.5</v>
      </c>
      <c r="BB24">
        <v>119.8</v>
      </c>
      <c r="BC24">
        <v>119.2</v>
      </c>
      <c r="BD24">
        <v>119.4</v>
      </c>
      <c r="BE24">
        <v>119.4</v>
      </c>
      <c r="BF24">
        <v>119.1</v>
      </c>
      <c r="BG24">
        <v>120.3</v>
      </c>
      <c r="BH24">
        <v>121.2</v>
      </c>
      <c r="BI24">
        <v>121</v>
      </c>
      <c r="BJ24">
        <v>121.6</v>
      </c>
      <c r="BK24">
        <v>122</v>
      </c>
      <c r="BL24">
        <v>122.7</v>
      </c>
      <c r="BM24">
        <v>123.3</v>
      </c>
      <c r="BN24">
        <v>124.6</v>
      </c>
      <c r="BO24">
        <v>125.3</v>
      </c>
      <c r="BP24">
        <v>126.4</v>
      </c>
      <c r="BQ24">
        <v>127.4</v>
      </c>
      <c r="BR24">
        <v>127.5</v>
      </c>
      <c r="BS24">
        <v>128.30000000000001</v>
      </c>
      <c r="BT24">
        <v>129.9</v>
      </c>
      <c r="BU24">
        <v>130.80000000000001</v>
      </c>
      <c r="BV24">
        <v>130.30000000000001</v>
      </c>
      <c r="BW24">
        <v>128.9</v>
      </c>
      <c r="BX24">
        <v>128.6</v>
      </c>
      <c r="BY24">
        <v>129.19999999999999</v>
      </c>
      <c r="BZ24">
        <v>129.9</v>
      </c>
      <c r="CA24">
        <v>130.19999999999999</v>
      </c>
      <c r="CB24">
        <v>130.19999999999999</v>
      </c>
      <c r="CC24">
        <v>131.19999999999999</v>
      </c>
      <c r="CD24">
        <v>131.4</v>
      </c>
      <c r="CE24">
        <v>131.6</v>
      </c>
      <c r="CF24">
        <v>131.69999999999999</v>
      </c>
      <c r="CG24">
        <v>132.1</v>
      </c>
      <c r="CH24">
        <v>135</v>
      </c>
      <c r="CI24">
        <v>136.30000000000001</v>
      </c>
      <c r="CJ24">
        <v>136</v>
      </c>
      <c r="CK24">
        <v>135.80000000000001</v>
      </c>
      <c r="CL24" t="s">
        <v>43</v>
      </c>
      <c r="CM24" t="s">
        <v>43</v>
      </c>
      <c r="CN24">
        <v>141.4</v>
      </c>
      <c r="CO24">
        <v>141.4</v>
      </c>
      <c r="CP24">
        <v>143.6</v>
      </c>
      <c r="CQ24">
        <v>144.6</v>
      </c>
      <c r="CR24">
        <v>146.4</v>
      </c>
      <c r="CS24">
        <v>146.1</v>
      </c>
      <c r="CT24">
        <v>146.4</v>
      </c>
      <c r="CU24">
        <v>147.5</v>
      </c>
      <c r="CV24">
        <v>150.19999999999999</v>
      </c>
      <c r="CW24">
        <v>151.30000000000001</v>
      </c>
      <c r="CX24">
        <v>151.69999999999999</v>
      </c>
      <c r="CY24">
        <v>153.19999999999999</v>
      </c>
      <c r="CZ24">
        <v>154.19999999999999</v>
      </c>
      <c r="DA24">
        <v>157.1</v>
      </c>
      <c r="DB24">
        <v>157.69999999999999</v>
      </c>
      <c r="DC24">
        <v>157.80000000000001</v>
      </c>
      <c r="DD24">
        <v>159.5</v>
      </c>
      <c r="DE24">
        <v>158.9</v>
      </c>
      <c r="DF24">
        <v>160.1</v>
      </c>
      <c r="DG24">
        <v>160.80000000000001</v>
      </c>
      <c r="DH24">
        <v>161.19999999999999</v>
      </c>
      <c r="DI24">
        <v>162</v>
      </c>
      <c r="DJ24">
        <v>166.2</v>
      </c>
      <c r="DK24">
        <v>167.1</v>
      </c>
      <c r="DL24">
        <v>165.5</v>
      </c>
      <c r="DM24">
        <v>166.3</v>
      </c>
      <c r="DN24">
        <v>166.6</v>
      </c>
      <c r="DO24">
        <v>166.9</v>
      </c>
      <c r="DP24">
        <v>167.4</v>
      </c>
      <c r="DQ24">
        <v>167.5</v>
      </c>
      <c r="DR24">
        <v>167.8</v>
      </c>
      <c r="DS24">
        <v>168.2</v>
      </c>
      <c r="DT24">
        <v>169</v>
      </c>
      <c r="DU24">
        <v>169</v>
      </c>
      <c r="DV24">
        <v>169.4</v>
      </c>
      <c r="DW24">
        <v>169.7</v>
      </c>
    </row>
    <row r="25" spans="1:127" x14ac:dyDescent="0.3">
      <c r="A25" t="s">
        <v>33</v>
      </c>
      <c r="B25" t="str">
        <f>VLOOKUP(C25,'Broader Categories'!$A$1:$B$28,2,FALSE)</f>
        <v>Recreation</v>
      </c>
      <c r="C25" t="s">
        <v>28</v>
      </c>
      <c r="D25">
        <v>103.4</v>
      </c>
      <c r="E25">
        <v>104</v>
      </c>
      <c r="F25">
        <v>104</v>
      </c>
      <c r="G25">
        <v>104.5</v>
      </c>
      <c r="H25">
        <v>105</v>
      </c>
      <c r="I25">
        <v>105.6</v>
      </c>
      <c r="J25">
        <v>106.4</v>
      </c>
      <c r="K25">
        <v>106.8</v>
      </c>
      <c r="L25">
        <v>107.7</v>
      </c>
      <c r="M25">
        <v>108.3</v>
      </c>
      <c r="N25">
        <v>108.7</v>
      </c>
      <c r="O25">
        <v>109.2</v>
      </c>
      <c r="P25">
        <v>109.6</v>
      </c>
      <c r="Q25">
        <v>109.9</v>
      </c>
      <c r="R25">
        <v>110.2</v>
      </c>
      <c r="S25">
        <v>110.5</v>
      </c>
      <c r="T25">
        <v>110.9</v>
      </c>
      <c r="U25">
        <v>111.4</v>
      </c>
      <c r="V25">
        <v>111.8</v>
      </c>
      <c r="W25">
        <v>112.2</v>
      </c>
      <c r="X25">
        <v>112.6</v>
      </c>
      <c r="Y25">
        <v>113</v>
      </c>
      <c r="Z25">
        <v>113.3</v>
      </c>
      <c r="AA25">
        <v>113.3</v>
      </c>
      <c r="AB25">
        <v>114</v>
      </c>
      <c r="AC25">
        <v>114.8</v>
      </c>
      <c r="AD25">
        <v>115.5</v>
      </c>
      <c r="AE25">
        <v>116.2</v>
      </c>
      <c r="AF25">
        <v>116.7</v>
      </c>
      <c r="AG25">
        <v>117.9</v>
      </c>
      <c r="AH25">
        <v>118</v>
      </c>
      <c r="AI25">
        <v>118.5</v>
      </c>
      <c r="AJ25">
        <v>119.6</v>
      </c>
      <c r="AK25">
        <v>120.1</v>
      </c>
      <c r="AL25">
        <v>120.9</v>
      </c>
      <c r="AM25">
        <v>121.6</v>
      </c>
      <c r="AN25">
        <v>121.4</v>
      </c>
      <c r="AO25">
        <v>122.3</v>
      </c>
      <c r="AP25">
        <v>122.5</v>
      </c>
      <c r="AQ25">
        <v>123.2</v>
      </c>
      <c r="AR25">
        <v>123.6</v>
      </c>
      <c r="AS25">
        <v>124.1</v>
      </c>
      <c r="AT25">
        <v>125.2</v>
      </c>
      <c r="AU25">
        <v>125.5</v>
      </c>
      <c r="AV25">
        <v>125.7</v>
      </c>
      <c r="AW25">
        <v>126.5</v>
      </c>
      <c r="AX25">
        <v>126.9</v>
      </c>
      <c r="AY25">
        <v>127.3</v>
      </c>
      <c r="AZ25">
        <v>127</v>
      </c>
      <c r="BA25">
        <v>127.7</v>
      </c>
      <c r="BB25">
        <v>128.30000000000001</v>
      </c>
      <c r="BC25">
        <v>128.30000000000001</v>
      </c>
      <c r="BD25">
        <v>129.4</v>
      </c>
      <c r="BE25">
        <v>129.80000000000001</v>
      </c>
      <c r="BF25">
        <v>130.6</v>
      </c>
      <c r="BG25">
        <v>131.5</v>
      </c>
      <c r="BH25">
        <v>132.30000000000001</v>
      </c>
      <c r="BI25">
        <v>133</v>
      </c>
      <c r="BJ25">
        <v>133.69999999999999</v>
      </c>
      <c r="BK25">
        <v>133.4</v>
      </c>
      <c r="BL25">
        <v>134.30000000000001</v>
      </c>
      <c r="BM25">
        <v>134.30000000000001</v>
      </c>
      <c r="BN25">
        <v>135.1</v>
      </c>
      <c r="BO25">
        <v>136</v>
      </c>
      <c r="BP25">
        <v>136.80000000000001</v>
      </c>
      <c r="BQ25">
        <v>137.80000000000001</v>
      </c>
      <c r="BR25">
        <v>138.4</v>
      </c>
      <c r="BS25">
        <v>138.6</v>
      </c>
      <c r="BT25">
        <v>140</v>
      </c>
      <c r="BU25">
        <v>140.1</v>
      </c>
      <c r="BV25">
        <v>143.1</v>
      </c>
      <c r="BW25">
        <v>143.30000000000001</v>
      </c>
      <c r="BX25">
        <v>142.9</v>
      </c>
      <c r="BY25">
        <v>143.4</v>
      </c>
      <c r="BZ25">
        <v>143.80000000000001</v>
      </c>
      <c r="CA25">
        <v>145.9</v>
      </c>
      <c r="CB25">
        <v>146.4</v>
      </c>
      <c r="CC25">
        <v>147.5</v>
      </c>
      <c r="CD25">
        <v>148</v>
      </c>
      <c r="CE25">
        <v>148.30000000000001</v>
      </c>
      <c r="CF25">
        <v>148.69999999999999</v>
      </c>
      <c r="CG25">
        <v>149.1</v>
      </c>
      <c r="CH25">
        <v>149.5</v>
      </c>
      <c r="CI25">
        <v>150.1</v>
      </c>
      <c r="CJ25">
        <v>150.4</v>
      </c>
      <c r="CK25">
        <v>151.19999999999999</v>
      </c>
      <c r="CL25" t="s">
        <v>43</v>
      </c>
      <c r="CM25" t="s">
        <v>43</v>
      </c>
      <c r="CN25">
        <v>153.19999999999999</v>
      </c>
      <c r="CO25">
        <v>153.19999999999999</v>
      </c>
      <c r="CP25">
        <v>152.19999999999999</v>
      </c>
      <c r="CQ25">
        <v>152.80000000000001</v>
      </c>
      <c r="CR25">
        <v>152.4</v>
      </c>
      <c r="CS25">
        <v>153.6</v>
      </c>
      <c r="CT25">
        <v>153.9</v>
      </c>
      <c r="CU25">
        <v>155.1</v>
      </c>
      <c r="CV25">
        <v>157</v>
      </c>
      <c r="CW25">
        <v>157.80000000000001</v>
      </c>
      <c r="CX25">
        <v>158.6</v>
      </c>
      <c r="CY25">
        <v>160</v>
      </c>
      <c r="CZ25">
        <v>160.4</v>
      </c>
      <c r="DA25">
        <v>160.69999999999999</v>
      </c>
      <c r="DB25">
        <v>161.1</v>
      </c>
      <c r="DC25">
        <v>162.69999999999999</v>
      </c>
      <c r="DD25">
        <v>163.19999999999999</v>
      </c>
      <c r="DE25">
        <v>163.80000000000001</v>
      </c>
      <c r="DF25">
        <v>164.5</v>
      </c>
      <c r="DG25">
        <v>164.9</v>
      </c>
      <c r="DH25">
        <v>165.5</v>
      </c>
      <c r="DI25">
        <v>166.6</v>
      </c>
      <c r="DJ25">
        <v>167.2</v>
      </c>
      <c r="DK25">
        <v>167.6</v>
      </c>
      <c r="DL25">
        <v>168</v>
      </c>
      <c r="DM25">
        <v>168.6</v>
      </c>
      <c r="DN25">
        <v>169.3</v>
      </c>
      <c r="DO25">
        <v>170</v>
      </c>
      <c r="DP25">
        <v>170.6</v>
      </c>
      <c r="DQ25">
        <v>170.8</v>
      </c>
      <c r="DR25">
        <v>171.2</v>
      </c>
      <c r="DS25">
        <v>171.8</v>
      </c>
      <c r="DT25">
        <v>172.8</v>
      </c>
      <c r="DU25">
        <v>172.8</v>
      </c>
      <c r="DV25">
        <v>173.2</v>
      </c>
      <c r="DW25">
        <v>173.8</v>
      </c>
    </row>
    <row r="26" spans="1:127" x14ac:dyDescent="0.3">
      <c r="A26" t="s">
        <v>33</v>
      </c>
      <c r="B26" t="str">
        <f>VLOOKUP(C26,'Broader Categories'!$A$1:$B$28,2,FALSE)</f>
        <v>Education</v>
      </c>
      <c r="C26" t="s">
        <v>29</v>
      </c>
      <c r="D26">
        <v>103.8</v>
      </c>
      <c r="E26">
        <v>104.1</v>
      </c>
      <c r="F26">
        <v>104.3</v>
      </c>
      <c r="G26">
        <v>104.8</v>
      </c>
      <c r="H26">
        <v>105.5</v>
      </c>
      <c r="I26">
        <v>106.5</v>
      </c>
      <c r="J26">
        <v>107.8</v>
      </c>
      <c r="K26">
        <v>108.7</v>
      </c>
      <c r="L26">
        <v>109.8</v>
      </c>
      <c r="M26">
        <v>110.2</v>
      </c>
      <c r="N26">
        <v>111</v>
      </c>
      <c r="O26">
        <v>111.6</v>
      </c>
      <c r="P26">
        <v>111.8</v>
      </c>
      <c r="Q26">
        <v>112</v>
      </c>
      <c r="R26">
        <v>112.4</v>
      </c>
      <c r="S26">
        <v>113</v>
      </c>
      <c r="T26">
        <v>113.1</v>
      </c>
      <c r="U26">
        <v>114.3</v>
      </c>
      <c r="V26">
        <v>115.5</v>
      </c>
      <c r="W26">
        <v>116.2</v>
      </c>
      <c r="X26">
        <v>116.6</v>
      </c>
      <c r="Y26">
        <v>116.9</v>
      </c>
      <c r="Z26">
        <v>117.2</v>
      </c>
      <c r="AA26">
        <v>117.7</v>
      </c>
      <c r="AB26">
        <v>118.2</v>
      </c>
      <c r="AC26">
        <v>118.7</v>
      </c>
      <c r="AD26">
        <v>119.4</v>
      </c>
      <c r="AE26">
        <v>119.9</v>
      </c>
      <c r="AF26">
        <v>120.5</v>
      </c>
      <c r="AG26">
        <v>122</v>
      </c>
      <c r="AH26">
        <v>122.9</v>
      </c>
      <c r="AI26">
        <v>123.6</v>
      </c>
      <c r="AJ26">
        <v>124.5</v>
      </c>
      <c r="AK26">
        <v>125.1</v>
      </c>
      <c r="AL26">
        <v>125.8</v>
      </c>
      <c r="AM26">
        <v>125.6</v>
      </c>
      <c r="AN26">
        <v>126.2</v>
      </c>
      <c r="AO26">
        <v>127.1</v>
      </c>
      <c r="AP26">
        <v>127.5</v>
      </c>
      <c r="AQ26">
        <v>127.9</v>
      </c>
      <c r="AR26">
        <v>129.1</v>
      </c>
      <c r="AS26">
        <v>130.19999999999999</v>
      </c>
      <c r="AT26">
        <v>130.80000000000001</v>
      </c>
      <c r="AU26">
        <v>131.9</v>
      </c>
      <c r="AV26">
        <v>132.19999999999999</v>
      </c>
      <c r="AW26">
        <v>133</v>
      </c>
      <c r="AX26">
        <v>133.69999999999999</v>
      </c>
      <c r="AY26">
        <v>134.19999999999999</v>
      </c>
      <c r="AZ26">
        <v>134.6</v>
      </c>
      <c r="BA26">
        <v>134.9</v>
      </c>
      <c r="BB26">
        <v>135.19999999999999</v>
      </c>
      <c r="BC26">
        <v>135.69999999999999</v>
      </c>
      <c r="BD26">
        <v>136.30000000000001</v>
      </c>
      <c r="BE26">
        <v>136.9</v>
      </c>
      <c r="BF26">
        <v>138.6</v>
      </c>
      <c r="BG26">
        <v>140.19999999999999</v>
      </c>
      <c r="BH26">
        <v>139.6</v>
      </c>
      <c r="BI26">
        <v>140.1</v>
      </c>
      <c r="BJ26">
        <v>141.5</v>
      </c>
      <c r="BK26">
        <v>141.1</v>
      </c>
      <c r="BL26">
        <v>141.6</v>
      </c>
      <c r="BM26">
        <v>141.5</v>
      </c>
      <c r="BN26">
        <v>142.69999999999999</v>
      </c>
      <c r="BO26">
        <v>143.69999999999999</v>
      </c>
      <c r="BP26">
        <v>144.4</v>
      </c>
      <c r="BQ26">
        <v>145.1</v>
      </c>
      <c r="BR26">
        <v>145.80000000000001</v>
      </c>
      <c r="BS26">
        <v>146.9</v>
      </c>
      <c r="BT26">
        <v>147.6</v>
      </c>
      <c r="BU26">
        <v>148</v>
      </c>
      <c r="BV26">
        <v>150.19999999999999</v>
      </c>
      <c r="BW26">
        <v>155.1</v>
      </c>
      <c r="BX26">
        <v>155.19999999999999</v>
      </c>
      <c r="BY26">
        <v>155.5</v>
      </c>
      <c r="BZ26">
        <v>155.5</v>
      </c>
      <c r="CA26">
        <v>156.69999999999999</v>
      </c>
      <c r="CB26">
        <v>157.69999999999999</v>
      </c>
      <c r="CC26">
        <v>159.1</v>
      </c>
      <c r="CD26">
        <v>159.69999999999999</v>
      </c>
      <c r="CE26">
        <v>160.19999999999999</v>
      </c>
      <c r="CF26">
        <v>160.69999999999999</v>
      </c>
      <c r="CG26">
        <v>160.80000000000001</v>
      </c>
      <c r="CH26">
        <v>161.1</v>
      </c>
      <c r="CI26">
        <v>161.69999999999999</v>
      </c>
      <c r="CJ26">
        <v>161.9</v>
      </c>
      <c r="CK26">
        <v>161.19999999999999</v>
      </c>
      <c r="CL26" t="s">
        <v>43</v>
      </c>
      <c r="CM26" t="s">
        <v>43</v>
      </c>
      <c r="CN26">
        <v>161.80000000000001</v>
      </c>
      <c r="CO26">
        <v>161.80000000000001</v>
      </c>
      <c r="CP26">
        <v>162.69999999999999</v>
      </c>
      <c r="CQ26">
        <v>161.1</v>
      </c>
      <c r="CR26">
        <v>162.5</v>
      </c>
      <c r="CS26">
        <v>161.6</v>
      </c>
      <c r="CT26">
        <v>162.9</v>
      </c>
      <c r="CU26">
        <v>163.5</v>
      </c>
      <c r="CV26">
        <v>163.6</v>
      </c>
      <c r="CW26">
        <v>163.80000000000001</v>
      </c>
      <c r="CX26">
        <v>164.1</v>
      </c>
      <c r="CY26">
        <v>167.6</v>
      </c>
      <c r="CZ26">
        <v>166.8</v>
      </c>
      <c r="DA26">
        <v>167.2</v>
      </c>
      <c r="DB26">
        <v>167.5</v>
      </c>
      <c r="DC26">
        <v>168.5</v>
      </c>
      <c r="DD26">
        <v>169</v>
      </c>
      <c r="DE26">
        <v>169.3</v>
      </c>
      <c r="DF26">
        <v>169.7</v>
      </c>
      <c r="DG26">
        <v>169.9</v>
      </c>
      <c r="DH26">
        <v>170.3</v>
      </c>
      <c r="DI26">
        <v>170.6</v>
      </c>
      <c r="DJ26">
        <v>170.9</v>
      </c>
      <c r="DK26">
        <v>171.8</v>
      </c>
      <c r="DL26">
        <v>172.6</v>
      </c>
      <c r="DM26">
        <v>174.7</v>
      </c>
      <c r="DN26">
        <v>175.7</v>
      </c>
      <c r="DO26">
        <v>176.2</v>
      </c>
      <c r="DP26">
        <v>176.5</v>
      </c>
      <c r="DQ26">
        <v>176.9</v>
      </c>
      <c r="DR26">
        <v>177.3</v>
      </c>
      <c r="DS26">
        <v>177.8</v>
      </c>
      <c r="DT26">
        <v>178.5</v>
      </c>
      <c r="DU26">
        <v>178.5</v>
      </c>
      <c r="DV26">
        <v>179.4</v>
      </c>
      <c r="DW26">
        <v>180.3</v>
      </c>
    </row>
    <row r="27" spans="1:127" x14ac:dyDescent="0.3">
      <c r="A27" t="s">
        <v>33</v>
      </c>
      <c r="B27" t="str">
        <f>VLOOKUP(C27,'Broader Categories'!$A$1:$B$28,2,FALSE)</f>
        <v>Health</v>
      </c>
      <c r="C27" t="s">
        <v>30</v>
      </c>
      <c r="D27">
        <v>104.7</v>
      </c>
      <c r="E27">
        <v>104.6</v>
      </c>
      <c r="F27">
        <v>104.3</v>
      </c>
      <c r="G27">
        <v>102.7</v>
      </c>
      <c r="H27">
        <v>102.1</v>
      </c>
      <c r="I27">
        <v>102.5</v>
      </c>
      <c r="J27">
        <v>102.5</v>
      </c>
      <c r="K27">
        <v>105</v>
      </c>
      <c r="L27">
        <v>106.7</v>
      </c>
      <c r="M27">
        <v>107.5</v>
      </c>
      <c r="N27">
        <v>108.2</v>
      </c>
      <c r="O27">
        <v>108.1</v>
      </c>
      <c r="P27">
        <v>108.3</v>
      </c>
      <c r="Q27">
        <v>108.7</v>
      </c>
      <c r="R27">
        <v>108.9</v>
      </c>
      <c r="S27">
        <v>108.9</v>
      </c>
      <c r="T27">
        <v>108.9</v>
      </c>
      <c r="U27">
        <v>108</v>
      </c>
      <c r="V27">
        <v>108.8</v>
      </c>
      <c r="W27">
        <v>109.4</v>
      </c>
      <c r="X27">
        <v>109.1</v>
      </c>
      <c r="Y27">
        <v>109.3</v>
      </c>
      <c r="Z27">
        <v>108.8</v>
      </c>
      <c r="AA27">
        <v>109.4</v>
      </c>
      <c r="AB27">
        <v>110.2</v>
      </c>
      <c r="AC27">
        <v>110.8</v>
      </c>
      <c r="AD27">
        <v>110.8</v>
      </c>
      <c r="AE27">
        <v>111.6</v>
      </c>
      <c r="AF27">
        <v>112.3</v>
      </c>
      <c r="AG27">
        <v>113</v>
      </c>
      <c r="AH27">
        <v>112.7</v>
      </c>
      <c r="AI27">
        <v>112.5</v>
      </c>
      <c r="AJ27">
        <v>113.7</v>
      </c>
      <c r="AK27">
        <v>114.2</v>
      </c>
      <c r="AL27">
        <v>114.2</v>
      </c>
      <c r="AM27">
        <v>114.1</v>
      </c>
      <c r="AN27">
        <v>114.9</v>
      </c>
      <c r="AO27">
        <v>116.8</v>
      </c>
      <c r="AP27">
        <v>117.4</v>
      </c>
      <c r="AQ27">
        <v>118.4</v>
      </c>
      <c r="AR27">
        <v>119.7</v>
      </c>
      <c r="AS27">
        <v>119.9</v>
      </c>
      <c r="AT27">
        <v>120.9</v>
      </c>
      <c r="AU27">
        <v>122</v>
      </c>
      <c r="AV27">
        <v>122.8</v>
      </c>
      <c r="AW27">
        <v>123</v>
      </c>
      <c r="AX27">
        <v>123.5</v>
      </c>
      <c r="AY27">
        <v>121.9</v>
      </c>
      <c r="AZ27">
        <v>122.3</v>
      </c>
      <c r="BA27">
        <v>123.2</v>
      </c>
      <c r="BB27">
        <v>123.3</v>
      </c>
      <c r="BC27">
        <v>123.7</v>
      </c>
      <c r="BD27">
        <v>123.7</v>
      </c>
      <c r="BE27">
        <v>124.1</v>
      </c>
      <c r="BF27">
        <v>124.4</v>
      </c>
      <c r="BG27">
        <v>125.4</v>
      </c>
      <c r="BH27">
        <v>126.7</v>
      </c>
      <c r="BI27">
        <v>127.4</v>
      </c>
      <c r="BJ27">
        <v>128.1</v>
      </c>
      <c r="BK27">
        <v>127.8</v>
      </c>
      <c r="BL27">
        <v>128.6</v>
      </c>
      <c r="BM27">
        <v>128.80000000000001</v>
      </c>
      <c r="BN27">
        <v>129.30000000000001</v>
      </c>
      <c r="BO27">
        <v>130.4</v>
      </c>
      <c r="BP27">
        <v>131.19999999999999</v>
      </c>
      <c r="BQ27">
        <v>131.4</v>
      </c>
      <c r="BR27">
        <v>131.4</v>
      </c>
      <c r="BS27">
        <v>131.30000000000001</v>
      </c>
      <c r="BT27">
        <v>132</v>
      </c>
      <c r="BU27">
        <v>134.4</v>
      </c>
      <c r="BV27">
        <v>133.1</v>
      </c>
      <c r="BW27">
        <v>133.19999999999999</v>
      </c>
      <c r="BX27">
        <v>133.5</v>
      </c>
      <c r="BY27">
        <v>134.9</v>
      </c>
      <c r="BZ27">
        <v>134</v>
      </c>
      <c r="CA27">
        <v>133.9</v>
      </c>
      <c r="CB27">
        <v>134.80000000000001</v>
      </c>
      <c r="CC27">
        <v>136.1</v>
      </c>
      <c r="CD27">
        <v>138.80000000000001</v>
      </c>
      <c r="CE27">
        <v>140.19999999999999</v>
      </c>
      <c r="CF27">
        <v>140.30000000000001</v>
      </c>
      <c r="CG27">
        <v>140.6</v>
      </c>
      <c r="CH27">
        <v>140.6</v>
      </c>
      <c r="CI27">
        <v>142.5</v>
      </c>
      <c r="CJ27">
        <v>143.4</v>
      </c>
      <c r="CK27">
        <v>145.1</v>
      </c>
      <c r="CL27" t="s">
        <v>43</v>
      </c>
      <c r="CM27" t="s">
        <v>43</v>
      </c>
      <c r="CN27">
        <v>151.19999999999999</v>
      </c>
      <c r="CO27">
        <v>151.19999999999999</v>
      </c>
      <c r="CP27">
        <v>153.6</v>
      </c>
      <c r="CQ27">
        <v>157.4</v>
      </c>
      <c r="CR27">
        <v>156.19999999999999</v>
      </c>
      <c r="CS27">
        <v>156.19999999999999</v>
      </c>
      <c r="CT27">
        <v>156.6</v>
      </c>
      <c r="CU27">
        <v>156.19999999999999</v>
      </c>
      <c r="CV27">
        <v>155.19999999999999</v>
      </c>
      <c r="CW27">
        <v>153.1</v>
      </c>
      <c r="CX27">
        <v>154.6</v>
      </c>
      <c r="CY27">
        <v>159.30000000000001</v>
      </c>
      <c r="CZ27">
        <v>159.4</v>
      </c>
      <c r="DA27">
        <v>160.4</v>
      </c>
      <c r="DB27">
        <v>160.30000000000001</v>
      </c>
      <c r="DC27">
        <v>160.19999999999999</v>
      </c>
      <c r="DD27">
        <v>161.1</v>
      </c>
      <c r="DE27">
        <v>162.4</v>
      </c>
      <c r="DF27">
        <v>162.80000000000001</v>
      </c>
      <c r="DG27">
        <v>163.19999999999999</v>
      </c>
      <c r="DH27">
        <v>164.5</v>
      </c>
      <c r="DI27">
        <v>167.4</v>
      </c>
      <c r="DJ27">
        <v>169</v>
      </c>
      <c r="DK27">
        <v>168.5</v>
      </c>
      <c r="DL27">
        <v>169.5</v>
      </c>
      <c r="DM27">
        <v>169.7</v>
      </c>
      <c r="DN27">
        <v>171.1</v>
      </c>
      <c r="DO27">
        <v>170.8</v>
      </c>
      <c r="DP27">
        <v>172</v>
      </c>
      <c r="DQ27">
        <v>173.4</v>
      </c>
      <c r="DR27">
        <v>175.7</v>
      </c>
      <c r="DS27">
        <v>178.4</v>
      </c>
      <c r="DT27">
        <v>180.7</v>
      </c>
      <c r="DU27">
        <v>180.7</v>
      </c>
      <c r="DV27">
        <v>183.8</v>
      </c>
      <c r="DW27">
        <v>184.9</v>
      </c>
    </row>
    <row r="28" spans="1:127" x14ac:dyDescent="0.3">
      <c r="A28" t="s">
        <v>33</v>
      </c>
      <c r="B28" t="str">
        <f>VLOOKUP(C28,'Broader Categories'!$A$1:$B$28,2,FALSE)</f>
        <v>Misc</v>
      </c>
      <c r="C28" t="s">
        <v>31</v>
      </c>
      <c r="D28">
        <v>104</v>
      </c>
      <c r="E28">
        <v>104.4</v>
      </c>
      <c r="F28">
        <v>104.6</v>
      </c>
      <c r="G28">
        <v>104.6</v>
      </c>
      <c r="H28">
        <v>104.8</v>
      </c>
      <c r="I28">
        <v>105.5</v>
      </c>
      <c r="J28">
        <v>106.5</v>
      </c>
      <c r="K28">
        <v>107.5</v>
      </c>
      <c r="L28">
        <v>108.7</v>
      </c>
      <c r="M28">
        <v>109.1</v>
      </c>
      <c r="N28">
        <v>109.8</v>
      </c>
      <c r="O28">
        <v>110.1</v>
      </c>
      <c r="P28">
        <v>110.6</v>
      </c>
      <c r="Q28">
        <v>110.9</v>
      </c>
      <c r="R28">
        <v>111.3</v>
      </c>
      <c r="S28">
        <v>111.5</v>
      </c>
      <c r="T28">
        <v>111.8</v>
      </c>
      <c r="U28">
        <v>112.3</v>
      </c>
      <c r="V28">
        <v>113.1</v>
      </c>
      <c r="W28">
        <v>113.5</v>
      </c>
      <c r="X28">
        <v>113.7</v>
      </c>
      <c r="Y28">
        <v>114</v>
      </c>
      <c r="Z28">
        <v>114.1</v>
      </c>
      <c r="AA28">
        <v>114.2</v>
      </c>
      <c r="AB28">
        <v>114.5</v>
      </c>
      <c r="AC28">
        <v>115</v>
      </c>
      <c r="AD28">
        <v>115.5</v>
      </c>
      <c r="AE28">
        <v>116</v>
      </c>
      <c r="AF28">
        <v>116.9</v>
      </c>
      <c r="AG28">
        <v>117.9</v>
      </c>
      <c r="AH28">
        <v>118.1</v>
      </c>
      <c r="AI28">
        <v>118.2</v>
      </c>
      <c r="AJ28">
        <v>118.8</v>
      </c>
      <c r="AK28">
        <v>119.2</v>
      </c>
      <c r="AL28">
        <v>119.6</v>
      </c>
      <c r="AM28">
        <v>119.8</v>
      </c>
      <c r="AN28">
        <v>120.1</v>
      </c>
      <c r="AO28">
        <v>120.9</v>
      </c>
      <c r="AP28">
        <v>121.1</v>
      </c>
      <c r="AQ28">
        <v>121.7</v>
      </c>
      <c r="AR28">
        <v>122.5</v>
      </c>
      <c r="AS28">
        <v>123.3</v>
      </c>
      <c r="AT28">
        <v>123.8</v>
      </c>
      <c r="AU28">
        <v>124.2</v>
      </c>
      <c r="AV28">
        <v>124.9</v>
      </c>
      <c r="AW28">
        <v>125.7</v>
      </c>
      <c r="AX28">
        <v>126.1</v>
      </c>
      <c r="AY28">
        <v>126.3</v>
      </c>
      <c r="AZ28">
        <v>126.6</v>
      </c>
      <c r="BA28">
        <v>127</v>
      </c>
      <c r="BB28">
        <v>127.4</v>
      </c>
      <c r="BC28">
        <v>127.5</v>
      </c>
      <c r="BD28">
        <v>127.9</v>
      </c>
      <c r="BE28">
        <v>128.1</v>
      </c>
      <c r="BF28">
        <v>128.6</v>
      </c>
      <c r="BG28">
        <v>129.69999999999999</v>
      </c>
      <c r="BH28">
        <v>130.30000000000001</v>
      </c>
      <c r="BI28">
        <v>130.69999999999999</v>
      </c>
      <c r="BJ28">
        <v>131.69999999999999</v>
      </c>
      <c r="BK28">
        <v>131.9</v>
      </c>
      <c r="BL28">
        <v>132.30000000000001</v>
      </c>
      <c r="BM28">
        <v>132.5</v>
      </c>
      <c r="BN28">
        <v>133.30000000000001</v>
      </c>
      <c r="BO28">
        <v>134.19999999999999</v>
      </c>
      <c r="BP28">
        <v>135.1</v>
      </c>
      <c r="BQ28">
        <v>135.6</v>
      </c>
      <c r="BR28">
        <v>136</v>
      </c>
      <c r="BS28">
        <v>136.6</v>
      </c>
      <c r="BT28">
        <v>137.4</v>
      </c>
      <c r="BU28">
        <v>139.80000000000001</v>
      </c>
      <c r="BV28">
        <v>140.1</v>
      </c>
      <c r="BW28">
        <v>141.6</v>
      </c>
      <c r="BX28">
        <v>141.69999999999999</v>
      </c>
      <c r="BY28">
        <v>142.19999999999999</v>
      </c>
      <c r="BZ28">
        <v>142.4</v>
      </c>
      <c r="CA28">
        <v>142.9</v>
      </c>
      <c r="CB28">
        <v>143.30000000000001</v>
      </c>
      <c r="CC28">
        <v>144.19999999999999</v>
      </c>
      <c r="CD28">
        <v>144.9</v>
      </c>
      <c r="CE28">
        <v>145.4</v>
      </c>
      <c r="CF28">
        <v>145.69999999999999</v>
      </c>
      <c r="CG28">
        <v>146.1</v>
      </c>
      <c r="CH28">
        <v>147.1</v>
      </c>
      <c r="CI28">
        <v>148.1</v>
      </c>
      <c r="CJ28">
        <v>148.4</v>
      </c>
      <c r="CK28">
        <v>148.6</v>
      </c>
      <c r="CL28" t="s">
        <v>43</v>
      </c>
      <c r="CM28" t="s">
        <v>43</v>
      </c>
      <c r="CN28">
        <v>151.69999999999999</v>
      </c>
      <c r="CO28">
        <v>151.69999999999999</v>
      </c>
      <c r="CP28">
        <v>153</v>
      </c>
      <c r="CQ28">
        <v>153.69999999999999</v>
      </c>
      <c r="CR28">
        <v>154.30000000000001</v>
      </c>
      <c r="CS28">
        <v>154.5</v>
      </c>
      <c r="CT28">
        <v>155.19999999999999</v>
      </c>
      <c r="CU28">
        <v>155.9</v>
      </c>
      <c r="CV28">
        <v>157.19999999999999</v>
      </c>
      <c r="CW28">
        <v>157.30000000000001</v>
      </c>
      <c r="CX28">
        <v>158</v>
      </c>
      <c r="CY28">
        <v>161.1</v>
      </c>
      <c r="CZ28">
        <v>161.5</v>
      </c>
      <c r="DA28">
        <v>162.80000000000001</v>
      </c>
      <c r="DB28">
        <v>163.30000000000001</v>
      </c>
      <c r="DC28">
        <v>163.80000000000001</v>
      </c>
      <c r="DD28">
        <v>164.7</v>
      </c>
      <c r="DE28">
        <v>165.2</v>
      </c>
      <c r="DF28">
        <v>166</v>
      </c>
      <c r="DG28">
        <v>166.6</v>
      </c>
      <c r="DH28">
        <v>167.3</v>
      </c>
      <c r="DI28">
        <v>168.3</v>
      </c>
      <c r="DJ28">
        <v>170.2</v>
      </c>
      <c r="DK28">
        <v>170.9</v>
      </c>
      <c r="DL28">
        <v>171</v>
      </c>
      <c r="DM28">
        <v>171.8</v>
      </c>
      <c r="DN28">
        <v>172.6</v>
      </c>
      <c r="DO28">
        <v>173.1</v>
      </c>
      <c r="DP28">
        <v>173.9</v>
      </c>
      <c r="DQ28">
        <v>174.6</v>
      </c>
      <c r="DR28">
        <v>175.5</v>
      </c>
      <c r="DS28">
        <v>176.5</v>
      </c>
      <c r="DT28">
        <v>177.9</v>
      </c>
      <c r="DU28">
        <v>177.9</v>
      </c>
      <c r="DV28">
        <v>178.9</v>
      </c>
      <c r="DW28">
        <v>179.5</v>
      </c>
    </row>
    <row r="29" spans="1:127" x14ac:dyDescent="0.3">
      <c r="A29" t="s">
        <v>33</v>
      </c>
      <c r="B29" t="str">
        <f>VLOOKUP(C29,'Broader Categories'!$A$1:$B$28,2,FALSE)</f>
        <v>Does not come under any category</v>
      </c>
      <c r="C29" t="s">
        <v>32</v>
      </c>
      <c r="D29">
        <v>105.1</v>
      </c>
      <c r="E29">
        <v>105.8</v>
      </c>
      <c r="F29">
        <v>106</v>
      </c>
      <c r="G29">
        <v>106.4</v>
      </c>
      <c r="H29">
        <v>107.2</v>
      </c>
      <c r="I29">
        <v>108.9</v>
      </c>
      <c r="J29">
        <v>110.7</v>
      </c>
      <c r="K29">
        <v>112.1</v>
      </c>
      <c r="L29">
        <v>114.2</v>
      </c>
      <c r="M29">
        <v>115.5</v>
      </c>
      <c r="N29">
        <v>117.4</v>
      </c>
      <c r="O29">
        <v>115.5</v>
      </c>
      <c r="P29">
        <v>114.2</v>
      </c>
      <c r="Q29">
        <v>114</v>
      </c>
      <c r="R29">
        <v>114.6</v>
      </c>
      <c r="S29">
        <v>115.4</v>
      </c>
      <c r="T29">
        <v>116</v>
      </c>
      <c r="U29">
        <v>117</v>
      </c>
      <c r="V29">
        <v>119.5</v>
      </c>
      <c r="W29">
        <v>120.7</v>
      </c>
      <c r="X29">
        <v>120.9</v>
      </c>
      <c r="Y29">
        <v>121</v>
      </c>
      <c r="Z29">
        <v>121.1</v>
      </c>
      <c r="AA29">
        <v>120.3</v>
      </c>
      <c r="AB29">
        <v>120.3</v>
      </c>
      <c r="AC29">
        <v>120.6</v>
      </c>
      <c r="AD29">
        <v>121.1</v>
      </c>
      <c r="AE29">
        <v>121.5</v>
      </c>
      <c r="AF29">
        <v>122.4</v>
      </c>
      <c r="AG29">
        <v>124.1</v>
      </c>
      <c r="AH29">
        <v>124.7</v>
      </c>
      <c r="AI29">
        <v>126.1</v>
      </c>
      <c r="AJ29">
        <v>127</v>
      </c>
      <c r="AK29">
        <v>127.7</v>
      </c>
      <c r="AL29">
        <v>128.30000000000001</v>
      </c>
      <c r="AM29">
        <v>127.9</v>
      </c>
      <c r="AN29">
        <v>128.1</v>
      </c>
      <c r="AO29">
        <v>127.9</v>
      </c>
      <c r="AP29">
        <v>128</v>
      </c>
      <c r="AQ29">
        <v>129</v>
      </c>
      <c r="AR29">
        <v>130.30000000000001</v>
      </c>
      <c r="AS29">
        <v>131.9</v>
      </c>
      <c r="AT29">
        <v>133</v>
      </c>
      <c r="AU29">
        <v>133.5</v>
      </c>
      <c r="AV29">
        <v>133.4</v>
      </c>
      <c r="AW29">
        <v>133.80000000000001</v>
      </c>
      <c r="AX29">
        <v>133.6</v>
      </c>
      <c r="AY29">
        <v>132.80000000000001</v>
      </c>
      <c r="AZ29">
        <v>132.4</v>
      </c>
      <c r="BA29">
        <v>132.6</v>
      </c>
      <c r="BB29">
        <v>132.80000000000001</v>
      </c>
      <c r="BC29">
        <v>132.9</v>
      </c>
      <c r="BD29">
        <v>133.30000000000001</v>
      </c>
      <c r="BE29">
        <v>133.9</v>
      </c>
      <c r="BF29">
        <v>136.19999999999999</v>
      </c>
      <c r="BG29">
        <v>137.80000000000001</v>
      </c>
      <c r="BH29">
        <v>137.6</v>
      </c>
      <c r="BI29">
        <v>138.30000000000001</v>
      </c>
      <c r="BJ29">
        <v>140</v>
      </c>
      <c r="BK29">
        <v>139.80000000000001</v>
      </c>
      <c r="BL29">
        <v>139.30000000000001</v>
      </c>
      <c r="BM29">
        <v>138.5</v>
      </c>
      <c r="BN29">
        <v>138.69999999999999</v>
      </c>
      <c r="BO29">
        <v>139.1</v>
      </c>
      <c r="BP29">
        <v>139.80000000000001</v>
      </c>
      <c r="BQ29">
        <v>140.5</v>
      </c>
      <c r="BR29">
        <v>141.80000000000001</v>
      </c>
      <c r="BS29">
        <v>142.5</v>
      </c>
      <c r="BT29">
        <v>142.1</v>
      </c>
      <c r="BU29">
        <v>142.19999999999999</v>
      </c>
      <c r="BV29">
        <v>142.4</v>
      </c>
      <c r="BW29">
        <v>141.9</v>
      </c>
      <c r="BX29">
        <v>141</v>
      </c>
      <c r="BY29">
        <v>141</v>
      </c>
      <c r="BZ29">
        <v>141.19999999999999</v>
      </c>
      <c r="CA29">
        <v>142.4</v>
      </c>
      <c r="CB29">
        <v>143.6</v>
      </c>
      <c r="CC29">
        <v>144.9</v>
      </c>
      <c r="CD29">
        <v>145.69999999999999</v>
      </c>
      <c r="CE29">
        <v>146.69999999999999</v>
      </c>
      <c r="CF29">
        <v>148.30000000000001</v>
      </c>
      <c r="CG29">
        <v>149.9</v>
      </c>
      <c r="CH29">
        <v>152.30000000000001</v>
      </c>
      <c r="CI29">
        <v>151.9</v>
      </c>
      <c r="CJ29">
        <v>150.4</v>
      </c>
      <c r="CK29">
        <v>149.80000000000001</v>
      </c>
      <c r="CL29" t="s">
        <v>43</v>
      </c>
      <c r="CM29" t="s">
        <v>43</v>
      </c>
      <c r="CN29">
        <v>152.69999999999999</v>
      </c>
      <c r="CO29">
        <v>152.69999999999999</v>
      </c>
      <c r="CP29">
        <v>154.69999999999999</v>
      </c>
      <c r="CQ29">
        <v>155.4</v>
      </c>
      <c r="CR29">
        <v>157.5</v>
      </c>
      <c r="CS29">
        <v>159.80000000000001</v>
      </c>
      <c r="CT29">
        <v>160.69999999999999</v>
      </c>
      <c r="CU29">
        <v>158.5</v>
      </c>
      <c r="CV29">
        <v>156.69999999999999</v>
      </c>
      <c r="CW29">
        <v>156.69999999999999</v>
      </c>
      <c r="CX29">
        <v>157.6</v>
      </c>
      <c r="CY29">
        <v>161.1</v>
      </c>
      <c r="CZ29">
        <v>162.1</v>
      </c>
      <c r="DA29">
        <v>163.19999999999999</v>
      </c>
      <c r="DB29">
        <v>163.6</v>
      </c>
      <c r="DC29">
        <v>164</v>
      </c>
      <c r="DD29">
        <v>166.3</v>
      </c>
      <c r="DE29">
        <v>167.6</v>
      </c>
      <c r="DF29">
        <v>167</v>
      </c>
      <c r="DG29">
        <v>166.4</v>
      </c>
      <c r="DH29">
        <v>166.7</v>
      </c>
      <c r="DI29">
        <v>168.7</v>
      </c>
      <c r="DJ29">
        <v>170.8</v>
      </c>
      <c r="DK29">
        <v>172.5</v>
      </c>
      <c r="DL29">
        <v>173.6</v>
      </c>
      <c r="DM29">
        <v>174.3</v>
      </c>
      <c r="DN29">
        <v>175.3</v>
      </c>
      <c r="DO29">
        <v>176.4</v>
      </c>
      <c r="DP29">
        <v>177.9</v>
      </c>
      <c r="DQ29">
        <v>177.8</v>
      </c>
      <c r="DR29">
        <v>177.1</v>
      </c>
      <c r="DS29">
        <v>177.8</v>
      </c>
      <c r="DT29">
        <v>178</v>
      </c>
      <c r="DU29">
        <v>178</v>
      </c>
      <c r="DV29">
        <v>178.8</v>
      </c>
      <c r="DW29">
        <v>179.8</v>
      </c>
    </row>
    <row r="30" spans="1:127" x14ac:dyDescent="0.3">
      <c r="A30" t="s">
        <v>36</v>
      </c>
      <c r="B30" t="str">
        <f>VLOOKUP(C30,'Broader Categories'!$A$1:$B$28,2,FALSE)</f>
        <v>Food</v>
      </c>
      <c r="C30" t="s">
        <v>3</v>
      </c>
      <c r="D30">
        <v>110.5</v>
      </c>
      <c r="E30">
        <v>112.9</v>
      </c>
      <c r="F30">
        <v>113.9</v>
      </c>
      <c r="G30">
        <v>114.6</v>
      </c>
      <c r="H30">
        <v>115.4</v>
      </c>
      <c r="I30">
        <v>117</v>
      </c>
      <c r="J30">
        <v>117.8</v>
      </c>
      <c r="K30">
        <v>118.3</v>
      </c>
      <c r="L30">
        <v>118.6</v>
      </c>
      <c r="M30">
        <v>118.9</v>
      </c>
      <c r="N30">
        <v>119.8</v>
      </c>
      <c r="O30">
        <v>120.5</v>
      </c>
      <c r="P30">
        <v>121.2</v>
      </c>
      <c r="Q30">
        <v>121.9</v>
      </c>
      <c r="R30">
        <v>122.1</v>
      </c>
      <c r="S30">
        <v>122.5</v>
      </c>
      <c r="T30">
        <v>122.7</v>
      </c>
      <c r="U30">
        <v>123.1</v>
      </c>
      <c r="V30">
        <v>123.8</v>
      </c>
      <c r="W30">
        <v>124.8</v>
      </c>
      <c r="X30">
        <v>124.2</v>
      </c>
      <c r="Y30">
        <v>124.6</v>
      </c>
      <c r="Z30">
        <v>124.5</v>
      </c>
      <c r="AA30">
        <v>124</v>
      </c>
      <c r="AB30">
        <v>124</v>
      </c>
      <c r="AC30">
        <v>124.3</v>
      </c>
      <c r="AD30">
        <v>124</v>
      </c>
      <c r="AE30">
        <v>123.8</v>
      </c>
      <c r="AF30">
        <v>123.8</v>
      </c>
      <c r="AG30">
        <v>123.6</v>
      </c>
      <c r="AH30">
        <v>123.2</v>
      </c>
      <c r="AI30">
        <v>123.1</v>
      </c>
      <c r="AJ30">
        <v>123.4</v>
      </c>
      <c r="AK30">
        <v>123.6</v>
      </c>
      <c r="AL30">
        <v>124</v>
      </c>
      <c r="AM30">
        <v>124.3</v>
      </c>
      <c r="AN30">
        <v>124.7</v>
      </c>
      <c r="AO30">
        <v>124.8</v>
      </c>
      <c r="AP30">
        <v>124.8</v>
      </c>
      <c r="AQ30">
        <v>124.9</v>
      </c>
      <c r="AR30">
        <v>125</v>
      </c>
      <c r="AS30">
        <v>125.9</v>
      </c>
      <c r="AT30">
        <v>126.8</v>
      </c>
      <c r="AU30">
        <v>127.6</v>
      </c>
      <c r="AV30">
        <v>128.1</v>
      </c>
      <c r="AW30">
        <v>128.69999999999999</v>
      </c>
      <c r="AX30">
        <v>130.19999999999999</v>
      </c>
      <c r="AY30">
        <v>131.6</v>
      </c>
      <c r="AZ30">
        <v>132.19999999999999</v>
      </c>
      <c r="BA30">
        <v>132.80000000000001</v>
      </c>
      <c r="BB30">
        <v>132.69999999999999</v>
      </c>
      <c r="BC30">
        <v>132.69999999999999</v>
      </c>
      <c r="BD30">
        <v>132.6</v>
      </c>
      <c r="BE30">
        <v>132.9</v>
      </c>
      <c r="BF30">
        <v>132.80000000000001</v>
      </c>
      <c r="BG30">
        <v>133.19999999999999</v>
      </c>
      <c r="BH30">
        <v>133.6</v>
      </c>
      <c r="BI30">
        <v>133.9</v>
      </c>
      <c r="BJ30">
        <v>134.30000000000001</v>
      </c>
      <c r="BK30">
        <v>134.4</v>
      </c>
      <c r="BL30">
        <v>134.6</v>
      </c>
      <c r="BM30">
        <v>134.80000000000001</v>
      </c>
      <c r="BN30">
        <v>135</v>
      </c>
      <c r="BO30">
        <v>135</v>
      </c>
      <c r="BP30">
        <v>135</v>
      </c>
      <c r="BQ30">
        <v>135.30000000000001</v>
      </c>
      <c r="BR30">
        <v>135.6</v>
      </c>
      <c r="BS30">
        <v>136.5</v>
      </c>
      <c r="BT30">
        <v>137</v>
      </c>
      <c r="BU30">
        <v>137.6</v>
      </c>
      <c r="BV30">
        <v>138.1</v>
      </c>
      <c r="BW30">
        <v>138.5</v>
      </c>
      <c r="BX30">
        <v>138.30000000000001</v>
      </c>
      <c r="BY30">
        <v>139.4</v>
      </c>
      <c r="BZ30">
        <v>139.69999999999999</v>
      </c>
      <c r="CA30">
        <v>140.4</v>
      </c>
      <c r="CB30">
        <v>140.69999999999999</v>
      </c>
      <c r="CC30">
        <v>141.4</v>
      </c>
      <c r="CD30">
        <v>142.1</v>
      </c>
      <c r="CE30">
        <v>142.69999999999999</v>
      </c>
      <c r="CF30">
        <v>143.5</v>
      </c>
      <c r="CG30">
        <v>144.1</v>
      </c>
      <c r="CH30">
        <v>144.9</v>
      </c>
      <c r="CI30">
        <v>145.6</v>
      </c>
      <c r="CJ30">
        <v>146.19999999999999</v>
      </c>
      <c r="CK30">
        <v>146.5</v>
      </c>
      <c r="CL30">
        <v>151.80000000000001</v>
      </c>
      <c r="CM30" t="s">
        <v>43</v>
      </c>
      <c r="CN30">
        <v>152.69999999999999</v>
      </c>
      <c r="CO30">
        <v>152.69999999999999</v>
      </c>
      <c r="CP30">
        <v>151.6</v>
      </c>
      <c r="CQ30">
        <v>151.5</v>
      </c>
      <c r="CR30">
        <v>150.6</v>
      </c>
      <c r="CS30">
        <v>149.69999999999999</v>
      </c>
      <c r="CT30">
        <v>149</v>
      </c>
      <c r="CU30">
        <v>148</v>
      </c>
      <c r="CV30">
        <v>147.6</v>
      </c>
      <c r="CW30">
        <v>147.5</v>
      </c>
      <c r="CX30">
        <v>147.6</v>
      </c>
      <c r="CY30">
        <v>148.80000000000001</v>
      </c>
      <c r="CZ30">
        <v>149.19999999999999</v>
      </c>
      <c r="DA30">
        <v>149.1</v>
      </c>
      <c r="DB30">
        <v>149.30000000000001</v>
      </c>
      <c r="DC30">
        <v>149.30000000000001</v>
      </c>
      <c r="DD30">
        <v>150.1</v>
      </c>
      <c r="DE30">
        <v>151</v>
      </c>
      <c r="DF30">
        <v>151.6</v>
      </c>
      <c r="DG30">
        <v>152.19999999999999</v>
      </c>
      <c r="DH30">
        <v>152.5</v>
      </c>
      <c r="DI30">
        <v>153.69999999999999</v>
      </c>
      <c r="DJ30">
        <v>155.4</v>
      </c>
      <c r="DK30">
        <v>156.69999999999999</v>
      </c>
      <c r="DL30">
        <v>157.5</v>
      </c>
      <c r="DM30">
        <v>159.30000000000001</v>
      </c>
      <c r="DN30">
        <v>162.1</v>
      </c>
      <c r="DO30">
        <v>164.9</v>
      </c>
      <c r="DP30">
        <v>166.4</v>
      </c>
      <c r="DQ30">
        <v>168.4</v>
      </c>
      <c r="DR30">
        <v>170.2</v>
      </c>
      <c r="DS30">
        <v>173.3</v>
      </c>
      <c r="DT30">
        <v>174.7</v>
      </c>
      <c r="DU30">
        <v>174.7</v>
      </c>
      <c r="DV30">
        <v>174.8</v>
      </c>
      <c r="DW30">
        <v>174.7</v>
      </c>
    </row>
    <row r="31" spans="1:127" x14ac:dyDescent="0.3">
      <c r="A31" t="s">
        <v>36</v>
      </c>
      <c r="B31" t="str">
        <f>VLOOKUP(C31,'Broader Categories'!$A$1:$B$28,2,FALSE)</f>
        <v>Food</v>
      </c>
      <c r="C31" t="s">
        <v>4</v>
      </c>
      <c r="D31">
        <v>109.1</v>
      </c>
      <c r="E31">
        <v>112.9</v>
      </c>
      <c r="F31">
        <v>111.4</v>
      </c>
      <c r="G31">
        <v>113.4</v>
      </c>
      <c r="H31">
        <v>114.2</v>
      </c>
      <c r="I31">
        <v>120.1</v>
      </c>
      <c r="J31">
        <v>119.2</v>
      </c>
      <c r="K31">
        <v>120.4</v>
      </c>
      <c r="L31">
        <v>119.1</v>
      </c>
      <c r="M31">
        <v>118.1</v>
      </c>
      <c r="N31">
        <v>116.3</v>
      </c>
      <c r="O31">
        <v>118.1</v>
      </c>
      <c r="P31">
        <v>122</v>
      </c>
      <c r="Q31">
        <v>122</v>
      </c>
      <c r="R31">
        <v>121.4</v>
      </c>
      <c r="S31">
        <v>121.7</v>
      </c>
      <c r="T31">
        <v>124.1</v>
      </c>
      <c r="U31">
        <v>125.9</v>
      </c>
      <c r="V31">
        <v>126.4</v>
      </c>
      <c r="W31">
        <v>127.3</v>
      </c>
      <c r="X31">
        <v>125.4</v>
      </c>
      <c r="Y31">
        <v>126.1</v>
      </c>
      <c r="Z31">
        <v>125.6</v>
      </c>
      <c r="AA31">
        <v>124.7</v>
      </c>
      <c r="AB31">
        <v>125.5</v>
      </c>
      <c r="AC31">
        <v>126.5</v>
      </c>
      <c r="AD31">
        <v>126.7</v>
      </c>
      <c r="AE31">
        <v>128.19999999999999</v>
      </c>
      <c r="AF31">
        <v>129.69999999999999</v>
      </c>
      <c r="AG31">
        <v>134.4</v>
      </c>
      <c r="AH31">
        <v>134.30000000000001</v>
      </c>
      <c r="AI31">
        <v>131.69999999999999</v>
      </c>
      <c r="AJ31">
        <v>129</v>
      </c>
      <c r="AK31">
        <v>128.6</v>
      </c>
      <c r="AL31">
        <v>129.80000000000001</v>
      </c>
      <c r="AM31">
        <v>131.69999999999999</v>
      </c>
      <c r="AN31">
        <v>135.9</v>
      </c>
      <c r="AO31">
        <v>135.1</v>
      </c>
      <c r="AP31">
        <v>136.30000000000001</v>
      </c>
      <c r="AQ31">
        <v>139.30000000000001</v>
      </c>
      <c r="AR31">
        <v>142.1</v>
      </c>
      <c r="AS31">
        <v>143.9</v>
      </c>
      <c r="AT31">
        <v>144.19999999999999</v>
      </c>
      <c r="AU31">
        <v>140.30000000000001</v>
      </c>
      <c r="AV31">
        <v>137.69999999999999</v>
      </c>
      <c r="AW31">
        <v>138.4</v>
      </c>
      <c r="AX31">
        <v>138.5</v>
      </c>
      <c r="AY31">
        <v>138.19999999999999</v>
      </c>
      <c r="AZ31">
        <v>138.9</v>
      </c>
      <c r="BA31">
        <v>139.80000000000001</v>
      </c>
      <c r="BB31">
        <v>139.4</v>
      </c>
      <c r="BC31">
        <v>140.6</v>
      </c>
      <c r="BD31">
        <v>144.1</v>
      </c>
      <c r="BE31">
        <v>148.69999999999999</v>
      </c>
      <c r="BF31">
        <v>148.4</v>
      </c>
      <c r="BG31">
        <v>143.9</v>
      </c>
      <c r="BH31">
        <v>143</v>
      </c>
      <c r="BI31">
        <v>142.80000000000001</v>
      </c>
      <c r="BJ31">
        <v>142.1</v>
      </c>
      <c r="BK31">
        <v>142.6</v>
      </c>
      <c r="BL31">
        <v>143.69999999999999</v>
      </c>
      <c r="BM31">
        <v>143</v>
      </c>
      <c r="BN31">
        <v>143.1</v>
      </c>
      <c r="BO31">
        <v>144.30000000000001</v>
      </c>
      <c r="BP31">
        <v>148.19999999999999</v>
      </c>
      <c r="BQ31">
        <v>149.69999999999999</v>
      </c>
      <c r="BR31">
        <v>148.6</v>
      </c>
      <c r="BS31">
        <v>146.4</v>
      </c>
      <c r="BT31">
        <v>143.1</v>
      </c>
      <c r="BU31">
        <v>144.9</v>
      </c>
      <c r="BV31">
        <v>146.30000000000001</v>
      </c>
      <c r="BW31">
        <v>147.80000000000001</v>
      </c>
      <c r="BX31">
        <v>149.4</v>
      </c>
      <c r="BY31">
        <v>150.1</v>
      </c>
      <c r="BZ31">
        <v>151.1</v>
      </c>
      <c r="CA31">
        <v>156.69999999999999</v>
      </c>
      <c r="CB31">
        <v>159.6</v>
      </c>
      <c r="CC31">
        <v>160.19999999999999</v>
      </c>
      <c r="CD31">
        <v>158.30000000000001</v>
      </c>
      <c r="CE31">
        <v>158.69999999999999</v>
      </c>
      <c r="CF31">
        <v>159.80000000000001</v>
      </c>
      <c r="CG31">
        <v>162.4</v>
      </c>
      <c r="CH31">
        <v>164.5</v>
      </c>
      <c r="CI31">
        <v>167.6</v>
      </c>
      <c r="CJ31">
        <v>167.6</v>
      </c>
      <c r="CK31">
        <v>167.5</v>
      </c>
      <c r="CL31" t="s">
        <v>43</v>
      </c>
      <c r="CM31" t="s">
        <v>43</v>
      </c>
      <c r="CN31">
        <v>197</v>
      </c>
      <c r="CO31">
        <v>197</v>
      </c>
      <c r="CP31">
        <v>197.8</v>
      </c>
      <c r="CQ31">
        <v>193.1</v>
      </c>
      <c r="CR31">
        <v>193.7</v>
      </c>
      <c r="CS31">
        <v>195.5</v>
      </c>
      <c r="CT31">
        <v>195.7</v>
      </c>
      <c r="CU31">
        <v>194.8</v>
      </c>
      <c r="CV31">
        <v>191.2</v>
      </c>
      <c r="CW31">
        <v>197.5</v>
      </c>
      <c r="CX31">
        <v>202.5</v>
      </c>
      <c r="CY31">
        <v>204.3</v>
      </c>
      <c r="CZ31">
        <v>205.5</v>
      </c>
      <c r="DA31">
        <v>210.9</v>
      </c>
      <c r="DB31">
        <v>207.4</v>
      </c>
      <c r="DC31">
        <v>207.4</v>
      </c>
      <c r="DD31">
        <v>208.4</v>
      </c>
      <c r="DE31">
        <v>204.9</v>
      </c>
      <c r="DF31">
        <v>202.2</v>
      </c>
      <c r="DG31">
        <v>202.1</v>
      </c>
      <c r="DH31">
        <v>205.2</v>
      </c>
      <c r="DI31">
        <v>215.8</v>
      </c>
      <c r="DJ31">
        <v>215.8</v>
      </c>
      <c r="DK31">
        <v>221.2</v>
      </c>
      <c r="DL31">
        <v>223.4</v>
      </c>
      <c r="DM31">
        <v>217.1</v>
      </c>
      <c r="DN31">
        <v>210.9</v>
      </c>
      <c r="DO31">
        <v>213.7</v>
      </c>
      <c r="DP31">
        <v>214.9</v>
      </c>
      <c r="DQ31">
        <v>213.4</v>
      </c>
      <c r="DR31">
        <v>212.9</v>
      </c>
      <c r="DS31">
        <v>215.2</v>
      </c>
      <c r="DT31">
        <v>212.2</v>
      </c>
      <c r="DU31">
        <v>212.2</v>
      </c>
      <c r="DV31">
        <v>213.7</v>
      </c>
      <c r="DW31">
        <v>219.4</v>
      </c>
    </row>
    <row r="32" spans="1:127" x14ac:dyDescent="0.3">
      <c r="A32" t="s">
        <v>36</v>
      </c>
      <c r="B32" t="str">
        <f>VLOOKUP(C32,'Broader Categories'!$A$1:$B$28,2,FALSE)</f>
        <v>Food</v>
      </c>
      <c r="C32" t="s">
        <v>5</v>
      </c>
      <c r="D32">
        <v>113</v>
      </c>
      <c r="E32">
        <v>116.9</v>
      </c>
      <c r="F32">
        <v>113.2</v>
      </c>
      <c r="G32">
        <v>106</v>
      </c>
      <c r="H32">
        <v>102.7</v>
      </c>
      <c r="I32">
        <v>112.5</v>
      </c>
      <c r="J32">
        <v>114</v>
      </c>
      <c r="K32">
        <v>112.7</v>
      </c>
      <c r="L32">
        <v>113.2</v>
      </c>
      <c r="M32">
        <v>114.5</v>
      </c>
      <c r="N32">
        <v>122.6</v>
      </c>
      <c r="O32">
        <v>128.5</v>
      </c>
      <c r="P32">
        <v>129.9</v>
      </c>
      <c r="Q32">
        <v>124.5</v>
      </c>
      <c r="R32">
        <v>121.5</v>
      </c>
      <c r="S32">
        <v>113.3</v>
      </c>
      <c r="T32">
        <v>114.2</v>
      </c>
      <c r="U32">
        <v>115.4</v>
      </c>
      <c r="V32">
        <v>118</v>
      </c>
      <c r="W32">
        <v>116.5</v>
      </c>
      <c r="X32">
        <v>116.4</v>
      </c>
      <c r="Y32">
        <v>117.8</v>
      </c>
      <c r="Z32">
        <v>122.7</v>
      </c>
      <c r="AA32">
        <v>126.3</v>
      </c>
      <c r="AB32">
        <v>126.6</v>
      </c>
      <c r="AC32">
        <v>119.5</v>
      </c>
      <c r="AD32">
        <v>113.5</v>
      </c>
      <c r="AE32">
        <v>110</v>
      </c>
      <c r="AF32">
        <v>111.3</v>
      </c>
      <c r="AG32">
        <v>120.9</v>
      </c>
      <c r="AH32">
        <v>119.5</v>
      </c>
      <c r="AI32">
        <v>118.1</v>
      </c>
      <c r="AJ32">
        <v>115.6</v>
      </c>
      <c r="AK32">
        <v>115.9</v>
      </c>
      <c r="AL32">
        <v>121.5</v>
      </c>
      <c r="AM32">
        <v>127.1</v>
      </c>
      <c r="AN32">
        <v>132</v>
      </c>
      <c r="AO32">
        <v>130.30000000000001</v>
      </c>
      <c r="AP32">
        <v>123.7</v>
      </c>
      <c r="AQ32">
        <v>119.9</v>
      </c>
      <c r="AR32">
        <v>127</v>
      </c>
      <c r="AS32">
        <v>130.9</v>
      </c>
      <c r="AT32">
        <v>136.6</v>
      </c>
      <c r="AU32">
        <v>133.69999999999999</v>
      </c>
      <c r="AV32">
        <v>130.6</v>
      </c>
      <c r="AW32">
        <v>130.30000000000001</v>
      </c>
      <c r="AX32">
        <v>134.1</v>
      </c>
      <c r="AY32">
        <v>134.9</v>
      </c>
      <c r="AZ32">
        <v>132.6</v>
      </c>
      <c r="BA32">
        <v>129.30000000000001</v>
      </c>
      <c r="BB32">
        <v>128.4</v>
      </c>
      <c r="BC32">
        <v>124.5</v>
      </c>
      <c r="BD32">
        <v>125.6</v>
      </c>
      <c r="BE32">
        <v>128.30000000000001</v>
      </c>
      <c r="BF32">
        <v>129.4</v>
      </c>
      <c r="BG32">
        <v>128.30000000000001</v>
      </c>
      <c r="BH32">
        <v>129.69999999999999</v>
      </c>
      <c r="BI32">
        <v>131.4</v>
      </c>
      <c r="BJ32">
        <v>146.69999999999999</v>
      </c>
      <c r="BK32">
        <v>145.9</v>
      </c>
      <c r="BL32">
        <v>143.6</v>
      </c>
      <c r="BM32">
        <v>139.9</v>
      </c>
      <c r="BN32">
        <v>135.5</v>
      </c>
      <c r="BO32">
        <v>130.80000000000001</v>
      </c>
      <c r="BP32">
        <v>130.5</v>
      </c>
      <c r="BQ32">
        <v>133.9</v>
      </c>
      <c r="BR32">
        <v>139.1</v>
      </c>
      <c r="BS32">
        <v>136.6</v>
      </c>
      <c r="BT32">
        <v>132.80000000000001</v>
      </c>
      <c r="BU32">
        <v>133.5</v>
      </c>
      <c r="BV32">
        <v>137.80000000000001</v>
      </c>
      <c r="BW32">
        <v>141.1</v>
      </c>
      <c r="BX32">
        <v>143.5</v>
      </c>
      <c r="BY32">
        <v>145.30000000000001</v>
      </c>
      <c r="BZ32">
        <v>142.9</v>
      </c>
      <c r="CA32">
        <v>138.30000000000001</v>
      </c>
      <c r="CB32">
        <v>140.4</v>
      </c>
      <c r="CC32">
        <v>142.5</v>
      </c>
      <c r="CD32">
        <v>140.80000000000001</v>
      </c>
      <c r="CE32">
        <v>141.6</v>
      </c>
      <c r="CF32">
        <v>144.69999999999999</v>
      </c>
      <c r="CG32">
        <v>148.4</v>
      </c>
      <c r="CH32">
        <v>153.69999999999999</v>
      </c>
      <c r="CI32">
        <v>157</v>
      </c>
      <c r="CJ32">
        <v>153.1</v>
      </c>
      <c r="CK32">
        <v>148.9</v>
      </c>
      <c r="CL32">
        <v>151.9</v>
      </c>
      <c r="CM32" t="s">
        <v>43</v>
      </c>
      <c r="CN32">
        <v>154.6</v>
      </c>
      <c r="CO32">
        <v>154.6</v>
      </c>
      <c r="CP32">
        <v>154.5</v>
      </c>
      <c r="CQ32">
        <v>157.30000000000001</v>
      </c>
      <c r="CR32">
        <v>164.8</v>
      </c>
      <c r="CS32">
        <v>176.9</v>
      </c>
      <c r="CT32">
        <v>178.3</v>
      </c>
      <c r="CU32">
        <v>178.4</v>
      </c>
      <c r="CV32">
        <v>169.9</v>
      </c>
      <c r="CW32">
        <v>164.7</v>
      </c>
      <c r="CX32">
        <v>166.4</v>
      </c>
      <c r="CY32">
        <v>173</v>
      </c>
      <c r="CZ32">
        <v>182.8</v>
      </c>
      <c r="DA32">
        <v>185</v>
      </c>
      <c r="DB32">
        <v>174.1</v>
      </c>
      <c r="DC32">
        <v>174.1</v>
      </c>
      <c r="DD32">
        <v>173</v>
      </c>
      <c r="DE32">
        <v>175.4</v>
      </c>
      <c r="DF32">
        <v>180</v>
      </c>
      <c r="DG32">
        <v>180.1</v>
      </c>
      <c r="DH32">
        <v>176.4</v>
      </c>
      <c r="DI32">
        <v>167.7</v>
      </c>
      <c r="DJ32">
        <v>164.6</v>
      </c>
      <c r="DK32">
        <v>164.1</v>
      </c>
      <c r="DL32">
        <v>172.8</v>
      </c>
      <c r="DM32">
        <v>176.6</v>
      </c>
      <c r="DN32">
        <v>170.6</v>
      </c>
      <c r="DO32">
        <v>170.9</v>
      </c>
      <c r="DP32">
        <v>171.9</v>
      </c>
      <c r="DQ32">
        <v>183.2</v>
      </c>
      <c r="DR32">
        <v>191.9</v>
      </c>
      <c r="DS32">
        <v>197</v>
      </c>
      <c r="DT32">
        <v>177.2</v>
      </c>
      <c r="DU32">
        <v>177.2</v>
      </c>
      <c r="DV32">
        <v>172.4</v>
      </c>
      <c r="DW32">
        <v>176.7</v>
      </c>
    </row>
    <row r="33" spans="1:127" x14ac:dyDescent="0.3">
      <c r="A33" t="s">
        <v>36</v>
      </c>
      <c r="B33" t="str">
        <f>VLOOKUP(C33,'Broader Categories'!$A$1:$B$28,2,FALSE)</f>
        <v>Food</v>
      </c>
      <c r="C33" t="s">
        <v>6</v>
      </c>
      <c r="D33">
        <v>103.6</v>
      </c>
      <c r="E33">
        <v>104</v>
      </c>
      <c r="F33">
        <v>104.3</v>
      </c>
      <c r="G33">
        <v>104.7</v>
      </c>
      <c r="H33">
        <v>105.5</v>
      </c>
      <c r="I33">
        <v>107.3</v>
      </c>
      <c r="J33">
        <v>108.3</v>
      </c>
      <c r="K33">
        <v>108.9</v>
      </c>
      <c r="L33">
        <v>109.6</v>
      </c>
      <c r="M33">
        <v>110.4</v>
      </c>
      <c r="N33">
        <v>112</v>
      </c>
      <c r="O33">
        <v>112.8</v>
      </c>
      <c r="P33">
        <v>113.6</v>
      </c>
      <c r="Q33">
        <v>115.2</v>
      </c>
      <c r="R33">
        <v>116.2</v>
      </c>
      <c r="S33">
        <v>117</v>
      </c>
      <c r="T33">
        <v>119.1</v>
      </c>
      <c r="U33">
        <v>120.4</v>
      </c>
      <c r="V33">
        <v>121.6</v>
      </c>
      <c r="W33">
        <v>122.2</v>
      </c>
      <c r="X33">
        <v>122.7</v>
      </c>
      <c r="Y33">
        <v>123.1</v>
      </c>
      <c r="Z33">
        <v>124.6</v>
      </c>
      <c r="AA33">
        <v>124.9</v>
      </c>
      <c r="AB33">
        <v>125.2</v>
      </c>
      <c r="AC33">
        <v>125.6</v>
      </c>
      <c r="AD33">
        <v>125.9</v>
      </c>
      <c r="AE33">
        <v>126.3</v>
      </c>
      <c r="AF33">
        <v>126.6</v>
      </c>
      <c r="AG33">
        <v>127.3</v>
      </c>
      <c r="AH33">
        <v>127.7</v>
      </c>
      <c r="AI33">
        <v>128</v>
      </c>
      <c r="AJ33">
        <v>128.30000000000001</v>
      </c>
      <c r="AK33">
        <v>128.5</v>
      </c>
      <c r="AL33">
        <v>128.6</v>
      </c>
      <c r="AM33">
        <v>128.6</v>
      </c>
      <c r="AN33">
        <v>129.19999999999999</v>
      </c>
      <c r="AO33">
        <v>129.6</v>
      </c>
      <c r="AP33">
        <v>129.69999999999999</v>
      </c>
      <c r="AQ33">
        <v>130.19999999999999</v>
      </c>
      <c r="AR33">
        <v>130.4</v>
      </c>
      <c r="AS33">
        <v>131</v>
      </c>
      <c r="AT33">
        <v>131.80000000000001</v>
      </c>
      <c r="AU33">
        <v>132.19999999999999</v>
      </c>
      <c r="AV33">
        <v>132.6</v>
      </c>
      <c r="AW33">
        <v>132.69999999999999</v>
      </c>
      <c r="AX33">
        <v>132.9</v>
      </c>
      <c r="AY33">
        <v>133.1</v>
      </c>
      <c r="AZ33">
        <v>133.1</v>
      </c>
      <c r="BA33">
        <v>133.5</v>
      </c>
      <c r="BB33">
        <v>134.9</v>
      </c>
      <c r="BC33">
        <v>136.30000000000001</v>
      </c>
      <c r="BD33">
        <v>136.80000000000001</v>
      </c>
      <c r="BE33">
        <v>137.30000000000001</v>
      </c>
      <c r="BF33">
        <v>137.69999999999999</v>
      </c>
      <c r="BG33">
        <v>138.30000000000001</v>
      </c>
      <c r="BH33">
        <v>138.69999999999999</v>
      </c>
      <c r="BI33">
        <v>139.1</v>
      </c>
      <c r="BJ33">
        <v>139.5</v>
      </c>
      <c r="BK33">
        <v>139.5</v>
      </c>
      <c r="BL33">
        <v>139.6</v>
      </c>
      <c r="BM33">
        <v>139.9</v>
      </c>
      <c r="BN33">
        <v>139.9</v>
      </c>
      <c r="BO33">
        <v>140.30000000000001</v>
      </c>
      <c r="BP33">
        <v>140.69999999999999</v>
      </c>
      <c r="BQ33">
        <v>140.80000000000001</v>
      </c>
      <c r="BR33">
        <v>141</v>
      </c>
      <c r="BS33">
        <v>141.19999999999999</v>
      </c>
      <c r="BT33">
        <v>141.5</v>
      </c>
      <c r="BU33">
        <v>141.5</v>
      </c>
      <c r="BV33">
        <v>141.6</v>
      </c>
      <c r="BW33">
        <v>141.6</v>
      </c>
      <c r="BX33">
        <v>141.69999999999999</v>
      </c>
      <c r="BY33">
        <v>141.69999999999999</v>
      </c>
      <c r="BZ33">
        <v>141.9</v>
      </c>
      <c r="CA33">
        <v>142.4</v>
      </c>
      <c r="CB33">
        <v>143.4</v>
      </c>
      <c r="CC33">
        <v>144.1</v>
      </c>
      <c r="CD33">
        <v>144.9</v>
      </c>
      <c r="CE33">
        <v>144.9</v>
      </c>
      <c r="CF33">
        <v>145.6</v>
      </c>
      <c r="CG33">
        <v>145.9</v>
      </c>
      <c r="CH33">
        <v>147.5</v>
      </c>
      <c r="CI33">
        <v>149.30000000000001</v>
      </c>
      <c r="CJ33">
        <v>150.69999999999999</v>
      </c>
      <c r="CK33">
        <v>151.1</v>
      </c>
      <c r="CL33">
        <v>155.5</v>
      </c>
      <c r="CM33" t="s">
        <v>43</v>
      </c>
      <c r="CN33">
        <v>153.4</v>
      </c>
      <c r="CO33">
        <v>153.4</v>
      </c>
      <c r="CP33">
        <v>153.4</v>
      </c>
      <c r="CQ33">
        <v>153.9</v>
      </c>
      <c r="CR33">
        <v>153.69999999999999</v>
      </c>
      <c r="CS33">
        <v>153.9</v>
      </c>
      <c r="CT33">
        <v>154.19999999999999</v>
      </c>
      <c r="CU33">
        <v>154.4</v>
      </c>
      <c r="CV33">
        <v>155.1</v>
      </c>
      <c r="CW33">
        <v>155.6</v>
      </c>
      <c r="CX33">
        <v>156</v>
      </c>
      <c r="CY33">
        <v>156.5</v>
      </c>
      <c r="CZ33">
        <v>156.5</v>
      </c>
      <c r="DA33">
        <v>158.19999999999999</v>
      </c>
      <c r="DB33">
        <v>159.19999999999999</v>
      </c>
      <c r="DC33">
        <v>159.1</v>
      </c>
      <c r="DD33">
        <v>159.19999999999999</v>
      </c>
      <c r="DE33">
        <v>159.6</v>
      </c>
      <c r="DF33">
        <v>160</v>
      </c>
      <c r="DG33">
        <v>160.4</v>
      </c>
      <c r="DH33">
        <v>160.6</v>
      </c>
      <c r="DI33">
        <v>162.6</v>
      </c>
      <c r="DJ33">
        <v>164.2</v>
      </c>
      <c r="DK33">
        <v>165.4</v>
      </c>
      <c r="DL33">
        <v>166.4</v>
      </c>
      <c r="DM33">
        <v>167.1</v>
      </c>
      <c r="DN33">
        <v>168.4</v>
      </c>
      <c r="DO33">
        <v>170.1</v>
      </c>
      <c r="DP33">
        <v>171</v>
      </c>
      <c r="DQ33">
        <v>172.3</v>
      </c>
      <c r="DR33">
        <v>173.9</v>
      </c>
      <c r="DS33">
        <v>175.2</v>
      </c>
      <c r="DT33">
        <v>177.9</v>
      </c>
      <c r="DU33">
        <v>177.9</v>
      </c>
      <c r="DV33">
        <v>178.8</v>
      </c>
      <c r="DW33">
        <v>179.4</v>
      </c>
    </row>
    <row r="34" spans="1:127" x14ac:dyDescent="0.3">
      <c r="A34" t="s">
        <v>36</v>
      </c>
      <c r="B34" t="str">
        <f>VLOOKUP(C34,'Broader Categories'!$A$1:$B$28,2,FALSE)</f>
        <v>Food</v>
      </c>
      <c r="C34" t="s">
        <v>7</v>
      </c>
      <c r="D34">
        <v>103.4</v>
      </c>
      <c r="E34">
        <v>103.5</v>
      </c>
      <c r="F34">
        <v>102.7</v>
      </c>
      <c r="G34">
        <v>102.1</v>
      </c>
      <c r="H34">
        <v>101.5</v>
      </c>
      <c r="I34">
        <v>101.3</v>
      </c>
      <c r="J34">
        <v>101.1</v>
      </c>
      <c r="K34">
        <v>101.1</v>
      </c>
      <c r="L34">
        <v>101.7</v>
      </c>
      <c r="M34">
        <v>102.3</v>
      </c>
      <c r="N34">
        <v>103.2</v>
      </c>
      <c r="O34">
        <v>103.4</v>
      </c>
      <c r="P34">
        <v>102.9</v>
      </c>
      <c r="Q34">
        <v>102.5</v>
      </c>
      <c r="R34">
        <v>102.8</v>
      </c>
      <c r="S34">
        <v>103.1</v>
      </c>
      <c r="T34">
        <v>103.5</v>
      </c>
      <c r="U34">
        <v>103.4</v>
      </c>
      <c r="V34">
        <v>103.5</v>
      </c>
      <c r="W34">
        <v>103.6</v>
      </c>
      <c r="X34">
        <v>103.5</v>
      </c>
      <c r="Y34">
        <v>103.5</v>
      </c>
      <c r="Z34">
        <v>103.2</v>
      </c>
      <c r="AA34">
        <v>103</v>
      </c>
      <c r="AB34">
        <v>104.3</v>
      </c>
      <c r="AC34">
        <v>104.9</v>
      </c>
      <c r="AD34">
        <v>104.8</v>
      </c>
      <c r="AE34">
        <v>104.5</v>
      </c>
      <c r="AF34">
        <v>105.2</v>
      </c>
      <c r="AG34">
        <v>106</v>
      </c>
      <c r="AH34">
        <v>106.3</v>
      </c>
      <c r="AI34">
        <v>106.8</v>
      </c>
      <c r="AJ34">
        <v>107</v>
      </c>
      <c r="AK34">
        <v>109</v>
      </c>
      <c r="AL34">
        <v>110</v>
      </c>
      <c r="AM34">
        <v>110</v>
      </c>
      <c r="AN34">
        <v>109.7</v>
      </c>
      <c r="AO34">
        <v>108.4</v>
      </c>
      <c r="AP34">
        <v>107.9</v>
      </c>
      <c r="AQ34">
        <v>108.9</v>
      </c>
      <c r="AR34">
        <v>109.6</v>
      </c>
      <c r="AS34">
        <v>110.2</v>
      </c>
      <c r="AT34">
        <v>111</v>
      </c>
      <c r="AU34">
        <v>111.8</v>
      </c>
      <c r="AV34">
        <v>111.9</v>
      </c>
      <c r="AW34">
        <v>112.5</v>
      </c>
      <c r="AX34">
        <v>112.6</v>
      </c>
      <c r="AY34">
        <v>113.5</v>
      </c>
      <c r="AZ34">
        <v>114</v>
      </c>
      <c r="BA34">
        <v>114.3</v>
      </c>
      <c r="BB34">
        <v>114</v>
      </c>
      <c r="BC34">
        <v>113.5</v>
      </c>
      <c r="BD34">
        <v>113.4</v>
      </c>
      <c r="BE34">
        <v>113.5</v>
      </c>
      <c r="BF34">
        <v>113.4</v>
      </c>
      <c r="BG34">
        <v>114.1</v>
      </c>
      <c r="BH34">
        <v>114.5</v>
      </c>
      <c r="BI34">
        <v>114.9</v>
      </c>
      <c r="BJ34">
        <v>115.2</v>
      </c>
      <c r="BK34">
        <v>115.9</v>
      </c>
      <c r="BL34">
        <v>116.4</v>
      </c>
      <c r="BM34">
        <v>116.2</v>
      </c>
      <c r="BN34">
        <v>116.5</v>
      </c>
      <c r="BO34">
        <v>116.6</v>
      </c>
      <c r="BP34">
        <v>116.4</v>
      </c>
      <c r="BQ34">
        <v>116.6</v>
      </c>
      <c r="BR34">
        <v>116.7</v>
      </c>
      <c r="BS34">
        <v>117.4</v>
      </c>
      <c r="BT34">
        <v>117.8</v>
      </c>
      <c r="BU34">
        <v>118</v>
      </c>
      <c r="BV34">
        <v>118.1</v>
      </c>
      <c r="BW34">
        <v>118.1</v>
      </c>
      <c r="BX34">
        <v>118.1</v>
      </c>
      <c r="BY34">
        <v>118.4</v>
      </c>
      <c r="BZ34">
        <v>118.4</v>
      </c>
      <c r="CA34">
        <v>118.6</v>
      </c>
      <c r="CB34">
        <v>118.6</v>
      </c>
      <c r="CC34">
        <v>119.3</v>
      </c>
      <c r="CD34">
        <v>119.9</v>
      </c>
      <c r="CE34">
        <v>120.8</v>
      </c>
      <c r="CF34">
        <v>121.1</v>
      </c>
      <c r="CG34">
        <v>121.5</v>
      </c>
      <c r="CH34">
        <v>122.7</v>
      </c>
      <c r="CI34">
        <v>126.3</v>
      </c>
      <c r="CJ34">
        <v>127.4</v>
      </c>
      <c r="CK34">
        <v>127.5</v>
      </c>
      <c r="CL34">
        <v>131.6</v>
      </c>
      <c r="CM34" t="s">
        <v>43</v>
      </c>
      <c r="CN34">
        <v>132.9</v>
      </c>
      <c r="CO34">
        <v>132.9</v>
      </c>
      <c r="CP34">
        <v>133.4</v>
      </c>
      <c r="CQ34">
        <v>134.4</v>
      </c>
      <c r="CR34">
        <v>135.69999999999999</v>
      </c>
      <c r="CS34">
        <v>138</v>
      </c>
      <c r="CT34">
        <v>140.69999999999999</v>
      </c>
      <c r="CU34">
        <v>144.1</v>
      </c>
      <c r="CV34">
        <v>151.4</v>
      </c>
      <c r="CW34">
        <v>156.4</v>
      </c>
      <c r="CX34">
        <v>161.4</v>
      </c>
      <c r="CY34">
        <v>168.8</v>
      </c>
      <c r="CZ34">
        <v>172.2</v>
      </c>
      <c r="DA34">
        <v>170.6</v>
      </c>
      <c r="DB34">
        <v>175</v>
      </c>
      <c r="DC34">
        <v>175</v>
      </c>
      <c r="DD34">
        <v>176.6</v>
      </c>
      <c r="DE34">
        <v>175.8</v>
      </c>
      <c r="DF34">
        <v>173.5</v>
      </c>
      <c r="DG34">
        <v>171</v>
      </c>
      <c r="DH34">
        <v>171.5</v>
      </c>
      <c r="DI34">
        <v>180</v>
      </c>
      <c r="DJ34">
        <v>186</v>
      </c>
      <c r="DK34">
        <v>189.5</v>
      </c>
      <c r="DL34">
        <v>188.6</v>
      </c>
      <c r="DM34">
        <v>184.8</v>
      </c>
      <c r="DN34">
        <v>182.5</v>
      </c>
      <c r="DO34">
        <v>179.3</v>
      </c>
      <c r="DP34">
        <v>177.7</v>
      </c>
      <c r="DQ34">
        <v>180</v>
      </c>
      <c r="DR34">
        <v>179.1</v>
      </c>
      <c r="DS34">
        <v>178</v>
      </c>
      <c r="DT34">
        <v>172.2</v>
      </c>
      <c r="DU34">
        <v>172.2</v>
      </c>
      <c r="DV34">
        <v>168.7</v>
      </c>
      <c r="DW34">
        <v>164.4</v>
      </c>
    </row>
    <row r="35" spans="1:127" x14ac:dyDescent="0.3">
      <c r="A35" t="s">
        <v>36</v>
      </c>
      <c r="B35" t="str">
        <f>VLOOKUP(C35,'Broader Categories'!$A$1:$B$28,2,FALSE)</f>
        <v>Food</v>
      </c>
      <c r="C35" t="s">
        <v>8</v>
      </c>
      <c r="D35">
        <v>102.3</v>
      </c>
      <c r="E35">
        <v>103.1</v>
      </c>
      <c r="F35">
        <v>104.9</v>
      </c>
      <c r="G35">
        <v>109.5</v>
      </c>
      <c r="H35">
        <v>110.6</v>
      </c>
      <c r="I35">
        <v>112.4</v>
      </c>
      <c r="J35">
        <v>113.2</v>
      </c>
      <c r="K35">
        <v>108.7</v>
      </c>
      <c r="L35">
        <v>103.2</v>
      </c>
      <c r="M35">
        <v>106.2</v>
      </c>
      <c r="N35">
        <v>110</v>
      </c>
      <c r="O35">
        <v>110.7</v>
      </c>
      <c r="P35">
        <v>112.1</v>
      </c>
      <c r="Q35">
        <v>114.1</v>
      </c>
      <c r="R35">
        <v>117.7</v>
      </c>
      <c r="S35">
        <v>126.7</v>
      </c>
      <c r="T35">
        <v>129.19999999999999</v>
      </c>
      <c r="U35">
        <v>131.19999999999999</v>
      </c>
      <c r="V35">
        <v>133.69999999999999</v>
      </c>
      <c r="W35">
        <v>132.69999999999999</v>
      </c>
      <c r="X35">
        <v>124.5</v>
      </c>
      <c r="Y35">
        <v>123.5</v>
      </c>
      <c r="Z35">
        <v>122.2</v>
      </c>
      <c r="AA35">
        <v>122.3</v>
      </c>
      <c r="AB35">
        <v>121.3</v>
      </c>
      <c r="AC35">
        <v>121.6</v>
      </c>
      <c r="AD35">
        <v>123.8</v>
      </c>
      <c r="AE35">
        <v>130.6</v>
      </c>
      <c r="AF35">
        <v>130.80000000000001</v>
      </c>
      <c r="AG35">
        <v>132.30000000000001</v>
      </c>
      <c r="AH35">
        <v>132.80000000000001</v>
      </c>
      <c r="AI35">
        <v>130.1</v>
      </c>
      <c r="AJ35">
        <v>124</v>
      </c>
      <c r="AK35">
        <v>124.1</v>
      </c>
      <c r="AL35">
        <v>123.7</v>
      </c>
      <c r="AM35">
        <v>120.8</v>
      </c>
      <c r="AN35">
        <v>119</v>
      </c>
      <c r="AO35">
        <v>118.6</v>
      </c>
      <c r="AP35">
        <v>119.9</v>
      </c>
      <c r="AQ35">
        <v>131.1</v>
      </c>
      <c r="AR35">
        <v>133.5</v>
      </c>
      <c r="AS35">
        <v>135.5</v>
      </c>
      <c r="AT35">
        <v>137</v>
      </c>
      <c r="AU35">
        <v>135.80000000000001</v>
      </c>
      <c r="AV35">
        <v>132.5</v>
      </c>
      <c r="AW35">
        <v>130.4</v>
      </c>
      <c r="AX35">
        <v>130.80000000000001</v>
      </c>
      <c r="AY35">
        <v>129.30000000000001</v>
      </c>
      <c r="AZ35">
        <v>129.6</v>
      </c>
      <c r="BA35">
        <v>131.4</v>
      </c>
      <c r="BB35">
        <v>136.80000000000001</v>
      </c>
      <c r="BC35">
        <v>137.69999999999999</v>
      </c>
      <c r="BD35">
        <v>135.19999999999999</v>
      </c>
      <c r="BE35">
        <v>137.19999999999999</v>
      </c>
      <c r="BF35">
        <v>139.4</v>
      </c>
      <c r="BG35">
        <v>142.69999999999999</v>
      </c>
      <c r="BH35">
        <v>137.5</v>
      </c>
      <c r="BI35">
        <v>135.6</v>
      </c>
      <c r="BJ35">
        <v>136.4</v>
      </c>
      <c r="BK35">
        <v>135</v>
      </c>
      <c r="BL35">
        <v>133.80000000000001</v>
      </c>
      <c r="BM35">
        <v>135.5</v>
      </c>
      <c r="BN35">
        <v>138.5</v>
      </c>
      <c r="BO35">
        <v>150.1</v>
      </c>
      <c r="BP35">
        <v>151.30000000000001</v>
      </c>
      <c r="BQ35">
        <v>152.19999999999999</v>
      </c>
      <c r="BR35">
        <v>149.69999999999999</v>
      </c>
      <c r="BS35">
        <v>146.30000000000001</v>
      </c>
      <c r="BT35">
        <v>140</v>
      </c>
      <c r="BU35">
        <v>139.5</v>
      </c>
      <c r="BV35">
        <v>141.5</v>
      </c>
      <c r="BW35">
        <v>138.5</v>
      </c>
      <c r="BX35">
        <v>135.19999999999999</v>
      </c>
      <c r="BY35">
        <v>137</v>
      </c>
      <c r="BZ35">
        <v>139.4</v>
      </c>
      <c r="CA35">
        <v>149.69999999999999</v>
      </c>
      <c r="CB35">
        <v>150.9</v>
      </c>
      <c r="CC35">
        <v>154.69999999999999</v>
      </c>
      <c r="CD35">
        <v>153.9</v>
      </c>
      <c r="CE35">
        <v>149.80000000000001</v>
      </c>
      <c r="CF35">
        <v>150.6</v>
      </c>
      <c r="CG35">
        <v>148.80000000000001</v>
      </c>
      <c r="CH35">
        <v>147.19999999999999</v>
      </c>
      <c r="CI35">
        <v>144.4</v>
      </c>
      <c r="CJ35">
        <v>143.1</v>
      </c>
      <c r="CK35">
        <v>143.30000000000001</v>
      </c>
      <c r="CL35">
        <v>152.9</v>
      </c>
      <c r="CM35" t="s">
        <v>43</v>
      </c>
      <c r="CN35">
        <v>151.80000000000001</v>
      </c>
      <c r="CO35">
        <v>151.80000000000001</v>
      </c>
      <c r="CP35">
        <v>154.5</v>
      </c>
      <c r="CQ35">
        <v>155.4</v>
      </c>
      <c r="CR35">
        <v>155.69999999999999</v>
      </c>
      <c r="CS35">
        <v>150.5</v>
      </c>
      <c r="CT35">
        <v>149.69999999999999</v>
      </c>
      <c r="CU35">
        <v>152.6</v>
      </c>
      <c r="CV35">
        <v>154</v>
      </c>
      <c r="CW35">
        <v>157.30000000000001</v>
      </c>
      <c r="CX35">
        <v>168.8</v>
      </c>
      <c r="CY35">
        <v>172.5</v>
      </c>
      <c r="CZ35">
        <v>171.5</v>
      </c>
      <c r="DA35">
        <v>170.9</v>
      </c>
      <c r="DB35">
        <v>161.30000000000001</v>
      </c>
      <c r="DC35">
        <v>161.19999999999999</v>
      </c>
      <c r="DD35">
        <v>159.30000000000001</v>
      </c>
      <c r="DE35">
        <v>160.30000000000001</v>
      </c>
      <c r="DF35">
        <v>158.30000000000001</v>
      </c>
      <c r="DG35">
        <v>156.5</v>
      </c>
      <c r="DH35">
        <v>156.4</v>
      </c>
      <c r="DI35">
        <v>159.6</v>
      </c>
      <c r="DJ35">
        <v>175.9</v>
      </c>
      <c r="DK35">
        <v>174.5</v>
      </c>
      <c r="DL35">
        <v>174.1</v>
      </c>
      <c r="DM35">
        <v>179.5</v>
      </c>
      <c r="DN35">
        <v>177.1</v>
      </c>
      <c r="DO35">
        <v>167.5</v>
      </c>
      <c r="DP35">
        <v>165.7</v>
      </c>
      <c r="DQ35">
        <v>162.6</v>
      </c>
      <c r="DR35">
        <v>159.5</v>
      </c>
      <c r="DS35">
        <v>160.5</v>
      </c>
      <c r="DT35">
        <v>172.1</v>
      </c>
      <c r="DU35">
        <v>172.1</v>
      </c>
      <c r="DV35">
        <v>179.2</v>
      </c>
      <c r="DW35">
        <v>175.8</v>
      </c>
    </row>
    <row r="36" spans="1:127" x14ac:dyDescent="0.3">
      <c r="A36" t="s">
        <v>36</v>
      </c>
      <c r="B36" t="str">
        <f>VLOOKUP(C36,'Broader Categories'!$A$1:$B$28,2,FALSE)</f>
        <v>Food</v>
      </c>
      <c r="C36" t="s">
        <v>9</v>
      </c>
      <c r="D36">
        <v>102.9</v>
      </c>
      <c r="E36">
        <v>104.9</v>
      </c>
      <c r="F36">
        <v>103.8</v>
      </c>
      <c r="G36">
        <v>109.7</v>
      </c>
      <c r="H36">
        <v>123.7</v>
      </c>
      <c r="I36">
        <v>143.6</v>
      </c>
      <c r="J36">
        <v>160.9</v>
      </c>
      <c r="K36">
        <v>177</v>
      </c>
      <c r="L36">
        <v>174.3</v>
      </c>
      <c r="M36">
        <v>183.5</v>
      </c>
      <c r="N36">
        <v>192.8</v>
      </c>
      <c r="O36">
        <v>144.80000000000001</v>
      </c>
      <c r="P36">
        <v>118.9</v>
      </c>
      <c r="Q36">
        <v>111.5</v>
      </c>
      <c r="R36">
        <v>113.3</v>
      </c>
      <c r="S36">
        <v>121.2</v>
      </c>
      <c r="T36">
        <v>127</v>
      </c>
      <c r="U36">
        <v>137.5</v>
      </c>
      <c r="V36">
        <v>172.4</v>
      </c>
      <c r="W36">
        <v>181.9</v>
      </c>
      <c r="X36">
        <v>168.6</v>
      </c>
      <c r="Y36">
        <v>159.6</v>
      </c>
      <c r="Z36">
        <v>153.19999999999999</v>
      </c>
      <c r="AA36">
        <v>141</v>
      </c>
      <c r="AB36">
        <v>134.4</v>
      </c>
      <c r="AC36">
        <v>131.80000000000001</v>
      </c>
      <c r="AD36">
        <v>131.4</v>
      </c>
      <c r="AE36">
        <v>130.80000000000001</v>
      </c>
      <c r="AF36">
        <v>135.6</v>
      </c>
      <c r="AG36">
        <v>146.69999999999999</v>
      </c>
      <c r="AH36">
        <v>153.5</v>
      </c>
      <c r="AI36">
        <v>165.5</v>
      </c>
      <c r="AJ36">
        <v>168.5</v>
      </c>
      <c r="AK36">
        <v>165.8</v>
      </c>
      <c r="AL36">
        <v>164.6</v>
      </c>
      <c r="AM36">
        <v>149</v>
      </c>
      <c r="AN36">
        <v>144.1</v>
      </c>
      <c r="AO36">
        <v>129.19999999999999</v>
      </c>
      <c r="AP36">
        <v>128.1</v>
      </c>
      <c r="AQ36">
        <v>136.80000000000001</v>
      </c>
      <c r="AR36">
        <v>151.4</v>
      </c>
      <c r="AS36">
        <v>173.7</v>
      </c>
      <c r="AT36">
        <v>179.5</v>
      </c>
      <c r="AU36">
        <v>163.5</v>
      </c>
      <c r="AV36">
        <v>152.9</v>
      </c>
      <c r="AW36">
        <v>155.1</v>
      </c>
      <c r="AX36">
        <v>142</v>
      </c>
      <c r="AY36">
        <v>121.1</v>
      </c>
      <c r="AZ36">
        <v>118.7</v>
      </c>
      <c r="BA36">
        <v>120.2</v>
      </c>
      <c r="BB36">
        <v>122.2</v>
      </c>
      <c r="BC36">
        <v>127.1</v>
      </c>
      <c r="BD36">
        <v>129.19999999999999</v>
      </c>
      <c r="BE36">
        <v>142.19999999999999</v>
      </c>
      <c r="BF36">
        <v>175.1</v>
      </c>
      <c r="BG36">
        <v>179.8</v>
      </c>
      <c r="BH36">
        <v>160.69999999999999</v>
      </c>
      <c r="BI36">
        <v>173.2</v>
      </c>
      <c r="BJ36">
        <v>185.2</v>
      </c>
      <c r="BK36">
        <v>163.19999999999999</v>
      </c>
      <c r="BL36">
        <v>150.5</v>
      </c>
      <c r="BM36">
        <v>136.9</v>
      </c>
      <c r="BN36">
        <v>128</v>
      </c>
      <c r="BO36">
        <v>127.6</v>
      </c>
      <c r="BP36">
        <v>131.4</v>
      </c>
      <c r="BQ36">
        <v>144</v>
      </c>
      <c r="BR36">
        <v>159.19999999999999</v>
      </c>
      <c r="BS36">
        <v>157.30000000000001</v>
      </c>
      <c r="BT36">
        <v>151.30000000000001</v>
      </c>
      <c r="BU36">
        <v>153</v>
      </c>
      <c r="BV36">
        <v>145.19999999999999</v>
      </c>
      <c r="BW36">
        <v>132.4</v>
      </c>
      <c r="BX36">
        <v>130.5</v>
      </c>
      <c r="BY36">
        <v>131.6</v>
      </c>
      <c r="BZ36">
        <v>141.19999999999999</v>
      </c>
      <c r="CA36">
        <v>161.6</v>
      </c>
      <c r="CB36">
        <v>169.8</v>
      </c>
      <c r="CC36">
        <v>180.1</v>
      </c>
      <c r="CD36">
        <v>189.1</v>
      </c>
      <c r="CE36">
        <v>192.4</v>
      </c>
      <c r="CF36">
        <v>207.2</v>
      </c>
      <c r="CG36">
        <v>215.7</v>
      </c>
      <c r="CH36">
        <v>231.5</v>
      </c>
      <c r="CI36">
        <v>207.8</v>
      </c>
      <c r="CJ36">
        <v>181.7</v>
      </c>
      <c r="CK36">
        <v>167</v>
      </c>
      <c r="CL36">
        <v>180</v>
      </c>
      <c r="CM36" t="s">
        <v>43</v>
      </c>
      <c r="CN36">
        <v>171.2</v>
      </c>
      <c r="CO36">
        <v>171.2</v>
      </c>
      <c r="CP36">
        <v>191.9</v>
      </c>
      <c r="CQ36">
        <v>202</v>
      </c>
      <c r="CR36">
        <v>226</v>
      </c>
      <c r="CS36">
        <v>245.3</v>
      </c>
      <c r="CT36">
        <v>240.9</v>
      </c>
      <c r="CU36">
        <v>206.8</v>
      </c>
      <c r="CV36">
        <v>180.2</v>
      </c>
      <c r="CW36">
        <v>166.1</v>
      </c>
      <c r="CX36">
        <v>161.6</v>
      </c>
      <c r="CY36">
        <v>166.5</v>
      </c>
      <c r="CZ36">
        <v>176.2</v>
      </c>
      <c r="DA36">
        <v>186.4</v>
      </c>
      <c r="DB36">
        <v>183.3</v>
      </c>
      <c r="DC36">
        <v>183.5</v>
      </c>
      <c r="DD36">
        <v>214.4</v>
      </c>
      <c r="DE36">
        <v>229.1</v>
      </c>
      <c r="DF36">
        <v>219.5</v>
      </c>
      <c r="DG36">
        <v>203.6</v>
      </c>
      <c r="DH36">
        <v>198</v>
      </c>
      <c r="DI36">
        <v>188.4</v>
      </c>
      <c r="DJ36">
        <v>190.7</v>
      </c>
      <c r="DK36">
        <v>203.2</v>
      </c>
      <c r="DL36">
        <v>211.5</v>
      </c>
      <c r="DM36">
        <v>208.5</v>
      </c>
      <c r="DN36">
        <v>213.1</v>
      </c>
      <c r="DO36">
        <v>220.8</v>
      </c>
      <c r="DP36">
        <v>228.6</v>
      </c>
      <c r="DQ36">
        <v>205.5</v>
      </c>
      <c r="DR36">
        <v>178.7</v>
      </c>
      <c r="DS36">
        <v>175.3</v>
      </c>
      <c r="DT36">
        <v>175.8</v>
      </c>
      <c r="DU36">
        <v>175.9</v>
      </c>
      <c r="DV36">
        <v>179.9</v>
      </c>
      <c r="DW36">
        <v>185</v>
      </c>
    </row>
    <row r="37" spans="1:127" x14ac:dyDescent="0.3">
      <c r="A37" t="s">
        <v>36</v>
      </c>
      <c r="B37" t="str">
        <f>VLOOKUP(C37,'Broader Categories'!$A$1:$B$28,2,FALSE)</f>
        <v>Food</v>
      </c>
      <c r="C37" t="s">
        <v>10</v>
      </c>
      <c r="D37">
        <v>105.8</v>
      </c>
      <c r="E37">
        <v>104.1</v>
      </c>
      <c r="F37">
        <v>103.5</v>
      </c>
      <c r="G37">
        <v>104.6</v>
      </c>
      <c r="H37">
        <v>105.2</v>
      </c>
      <c r="I37">
        <v>105.4</v>
      </c>
      <c r="J37">
        <v>105.1</v>
      </c>
      <c r="K37">
        <v>104.7</v>
      </c>
      <c r="L37">
        <v>105.1</v>
      </c>
      <c r="M37">
        <v>105.3</v>
      </c>
      <c r="N37">
        <v>106.3</v>
      </c>
      <c r="O37">
        <v>107.1</v>
      </c>
      <c r="P37">
        <v>107.5</v>
      </c>
      <c r="Q37">
        <v>108.2</v>
      </c>
      <c r="R37">
        <v>108.9</v>
      </c>
      <c r="S37">
        <v>111</v>
      </c>
      <c r="T37">
        <v>112.6</v>
      </c>
      <c r="U37">
        <v>112.8</v>
      </c>
      <c r="V37">
        <v>113.1</v>
      </c>
      <c r="W37">
        <v>115.2</v>
      </c>
      <c r="X37">
        <v>116.9</v>
      </c>
      <c r="Y37">
        <v>117.4</v>
      </c>
      <c r="Z37">
        <v>119.3</v>
      </c>
      <c r="AA37">
        <v>120.1</v>
      </c>
      <c r="AB37">
        <v>122.9</v>
      </c>
      <c r="AC37">
        <v>125.1</v>
      </c>
      <c r="AD37">
        <v>127.2</v>
      </c>
      <c r="AE37">
        <v>131.30000000000001</v>
      </c>
      <c r="AF37">
        <v>142.6</v>
      </c>
      <c r="AG37">
        <v>148.1</v>
      </c>
      <c r="AH37">
        <v>149.5</v>
      </c>
      <c r="AI37">
        <v>156</v>
      </c>
      <c r="AJ37">
        <v>165.4</v>
      </c>
      <c r="AK37">
        <v>187.2</v>
      </c>
      <c r="AL37">
        <v>191.6</v>
      </c>
      <c r="AM37">
        <v>190.1</v>
      </c>
      <c r="AN37">
        <v>184.2</v>
      </c>
      <c r="AO37">
        <v>176.4</v>
      </c>
      <c r="AP37">
        <v>170.3</v>
      </c>
      <c r="AQ37">
        <v>176.9</v>
      </c>
      <c r="AR37">
        <v>182.8</v>
      </c>
      <c r="AS37">
        <v>184.4</v>
      </c>
      <c r="AT37">
        <v>188.4</v>
      </c>
      <c r="AU37">
        <v>182.3</v>
      </c>
      <c r="AV37">
        <v>173.6</v>
      </c>
      <c r="AW37">
        <v>175.7</v>
      </c>
      <c r="AX37">
        <v>174.9</v>
      </c>
      <c r="AY37">
        <v>170.3</v>
      </c>
      <c r="AZ37">
        <v>155.1</v>
      </c>
      <c r="BA37">
        <v>143.1</v>
      </c>
      <c r="BB37">
        <v>135.80000000000001</v>
      </c>
      <c r="BC37">
        <v>133.80000000000001</v>
      </c>
      <c r="BD37">
        <v>131.5</v>
      </c>
      <c r="BE37">
        <v>128.19999999999999</v>
      </c>
      <c r="BF37">
        <v>124.7</v>
      </c>
      <c r="BG37">
        <v>123.5</v>
      </c>
      <c r="BH37">
        <v>124.5</v>
      </c>
      <c r="BI37">
        <v>124.1</v>
      </c>
      <c r="BJ37">
        <v>122.2</v>
      </c>
      <c r="BK37">
        <v>119.8</v>
      </c>
      <c r="BL37">
        <v>118.4</v>
      </c>
      <c r="BM37">
        <v>117</v>
      </c>
      <c r="BN37">
        <v>115.5</v>
      </c>
      <c r="BO37">
        <v>114</v>
      </c>
      <c r="BP37">
        <v>112.8</v>
      </c>
      <c r="BQ37">
        <v>112.3</v>
      </c>
      <c r="BR37">
        <v>112.6</v>
      </c>
      <c r="BS37">
        <v>113.6</v>
      </c>
      <c r="BT37">
        <v>113.5</v>
      </c>
      <c r="BU37">
        <v>113.2</v>
      </c>
      <c r="BV37">
        <v>115.3</v>
      </c>
      <c r="BW37">
        <v>117.5</v>
      </c>
      <c r="BX37">
        <v>118.2</v>
      </c>
      <c r="BY37">
        <v>119.9</v>
      </c>
      <c r="BZ37">
        <v>120.7</v>
      </c>
      <c r="CA37">
        <v>124.4</v>
      </c>
      <c r="CB37">
        <v>127.4</v>
      </c>
      <c r="CC37">
        <v>128.9</v>
      </c>
      <c r="CD37">
        <v>129.80000000000001</v>
      </c>
      <c r="CE37">
        <v>130.30000000000001</v>
      </c>
      <c r="CF37">
        <v>131.19999999999999</v>
      </c>
      <c r="CG37">
        <v>134.6</v>
      </c>
      <c r="CH37">
        <v>137.19999999999999</v>
      </c>
      <c r="CI37">
        <v>139.1</v>
      </c>
      <c r="CJ37">
        <v>139.6</v>
      </c>
      <c r="CK37">
        <v>139.69999999999999</v>
      </c>
      <c r="CL37">
        <v>150.80000000000001</v>
      </c>
      <c r="CM37" t="s">
        <v>43</v>
      </c>
      <c r="CN37">
        <v>152</v>
      </c>
      <c r="CO37">
        <v>152</v>
      </c>
      <c r="CP37">
        <v>151.30000000000001</v>
      </c>
      <c r="CQ37">
        <v>150.80000000000001</v>
      </c>
      <c r="CR37">
        <v>152.19999999999999</v>
      </c>
      <c r="CS37">
        <v>158.69999999999999</v>
      </c>
      <c r="CT37">
        <v>161.5</v>
      </c>
      <c r="CU37">
        <v>162.1</v>
      </c>
      <c r="CV37">
        <v>159.80000000000001</v>
      </c>
      <c r="CW37">
        <v>161.1</v>
      </c>
      <c r="CX37">
        <v>162.80000000000001</v>
      </c>
      <c r="CY37">
        <v>165.9</v>
      </c>
      <c r="CZ37">
        <v>166.9</v>
      </c>
      <c r="DA37">
        <v>164.7</v>
      </c>
      <c r="DB37">
        <v>164.5</v>
      </c>
      <c r="DC37">
        <v>164.5</v>
      </c>
      <c r="DD37">
        <v>165.3</v>
      </c>
      <c r="DE37">
        <v>165.1</v>
      </c>
      <c r="DF37">
        <v>164.2</v>
      </c>
      <c r="DG37">
        <v>163.80000000000001</v>
      </c>
      <c r="DH37">
        <v>163.19999999999999</v>
      </c>
      <c r="DI37">
        <v>163.4</v>
      </c>
      <c r="DJ37">
        <v>164</v>
      </c>
      <c r="DK37">
        <v>164.1</v>
      </c>
      <c r="DL37">
        <v>163.6</v>
      </c>
      <c r="DM37">
        <v>164</v>
      </c>
      <c r="DN37">
        <v>167.3</v>
      </c>
      <c r="DO37">
        <v>169.2</v>
      </c>
      <c r="DP37">
        <v>169.9</v>
      </c>
      <c r="DQ37">
        <v>171</v>
      </c>
      <c r="DR37">
        <v>171.3</v>
      </c>
      <c r="DS37">
        <v>171.2</v>
      </c>
      <c r="DT37">
        <v>172.2</v>
      </c>
      <c r="DU37">
        <v>172.2</v>
      </c>
      <c r="DV37">
        <v>174.7</v>
      </c>
      <c r="DW37">
        <v>176.9</v>
      </c>
    </row>
    <row r="38" spans="1:127" x14ac:dyDescent="0.3">
      <c r="A38" t="s">
        <v>36</v>
      </c>
      <c r="B38" t="str">
        <f>VLOOKUP(C38,'Broader Categories'!$A$1:$B$28,2,FALSE)</f>
        <v>Food</v>
      </c>
      <c r="C38" t="s">
        <v>11</v>
      </c>
      <c r="D38">
        <v>105.1</v>
      </c>
      <c r="E38">
        <v>103.8</v>
      </c>
      <c r="F38">
        <v>102.6</v>
      </c>
      <c r="G38">
        <v>102</v>
      </c>
      <c r="H38">
        <v>101.9</v>
      </c>
      <c r="I38">
        <v>101.4</v>
      </c>
      <c r="J38">
        <v>101.3</v>
      </c>
      <c r="K38">
        <v>101</v>
      </c>
      <c r="L38">
        <v>100.8</v>
      </c>
      <c r="M38">
        <v>100.2</v>
      </c>
      <c r="N38">
        <v>99.5</v>
      </c>
      <c r="O38">
        <v>98.6</v>
      </c>
      <c r="P38">
        <v>96.9</v>
      </c>
      <c r="Q38">
        <v>95.4</v>
      </c>
      <c r="R38">
        <v>96.3</v>
      </c>
      <c r="S38">
        <v>100.3</v>
      </c>
      <c r="T38">
        <v>101.3</v>
      </c>
      <c r="U38">
        <v>101.4</v>
      </c>
      <c r="V38">
        <v>102.7</v>
      </c>
      <c r="W38">
        <v>102.7</v>
      </c>
      <c r="X38">
        <v>101.9</v>
      </c>
      <c r="Y38">
        <v>101.2</v>
      </c>
      <c r="Z38">
        <v>99.8</v>
      </c>
      <c r="AA38">
        <v>97.8</v>
      </c>
      <c r="AB38">
        <v>96.1</v>
      </c>
      <c r="AC38">
        <v>95</v>
      </c>
      <c r="AD38">
        <v>93.2</v>
      </c>
      <c r="AE38">
        <v>91.6</v>
      </c>
      <c r="AF38">
        <v>90.8</v>
      </c>
      <c r="AG38">
        <v>89.8</v>
      </c>
      <c r="AH38">
        <v>85.7</v>
      </c>
      <c r="AI38">
        <v>85.3</v>
      </c>
      <c r="AJ38">
        <v>86.3</v>
      </c>
      <c r="AK38">
        <v>89.4</v>
      </c>
      <c r="AL38">
        <v>90.8</v>
      </c>
      <c r="AM38">
        <v>92.7</v>
      </c>
      <c r="AN38">
        <v>96.7</v>
      </c>
      <c r="AO38">
        <v>99.1</v>
      </c>
      <c r="AP38">
        <v>101.8</v>
      </c>
      <c r="AQ38">
        <v>109.1</v>
      </c>
      <c r="AR38">
        <v>111.1</v>
      </c>
      <c r="AS38">
        <v>112</v>
      </c>
      <c r="AT38">
        <v>113.3</v>
      </c>
      <c r="AU38">
        <v>114.6</v>
      </c>
      <c r="AV38">
        <v>115.1</v>
      </c>
      <c r="AW38">
        <v>115.4</v>
      </c>
      <c r="AX38">
        <v>115.6</v>
      </c>
      <c r="AY38">
        <v>115.5</v>
      </c>
      <c r="AZ38">
        <v>117.3</v>
      </c>
      <c r="BA38">
        <v>119.5</v>
      </c>
      <c r="BB38">
        <v>120.3</v>
      </c>
      <c r="BC38">
        <v>120.8</v>
      </c>
      <c r="BD38">
        <v>121</v>
      </c>
      <c r="BE38">
        <v>120.9</v>
      </c>
      <c r="BF38">
        <v>121.5</v>
      </c>
      <c r="BG38">
        <v>122.1</v>
      </c>
      <c r="BH38">
        <v>122.4</v>
      </c>
      <c r="BI38">
        <v>122.6</v>
      </c>
      <c r="BJ38">
        <v>123.9</v>
      </c>
      <c r="BK38">
        <v>120.7</v>
      </c>
      <c r="BL38">
        <v>117.3</v>
      </c>
      <c r="BM38">
        <v>115.4</v>
      </c>
      <c r="BN38">
        <v>114.2</v>
      </c>
      <c r="BO38">
        <v>110.6</v>
      </c>
      <c r="BP38">
        <v>105.3</v>
      </c>
      <c r="BQ38">
        <v>108.4</v>
      </c>
      <c r="BR38">
        <v>111.8</v>
      </c>
      <c r="BS38">
        <v>113.3</v>
      </c>
      <c r="BT38">
        <v>112.3</v>
      </c>
      <c r="BU38">
        <v>112.8</v>
      </c>
      <c r="BV38">
        <v>112.5</v>
      </c>
      <c r="BW38">
        <v>111</v>
      </c>
      <c r="BX38">
        <v>110.4</v>
      </c>
      <c r="BY38">
        <v>110.4</v>
      </c>
      <c r="BZ38">
        <v>110.4</v>
      </c>
      <c r="CA38">
        <v>111.2</v>
      </c>
      <c r="CB38">
        <v>111.8</v>
      </c>
      <c r="CC38">
        <v>111.8</v>
      </c>
      <c r="CD38">
        <v>112.7</v>
      </c>
      <c r="CE38">
        <v>114</v>
      </c>
      <c r="CF38">
        <v>114.8</v>
      </c>
      <c r="CG38">
        <v>115</v>
      </c>
      <c r="CH38">
        <v>114.7</v>
      </c>
      <c r="CI38">
        <v>114.8</v>
      </c>
      <c r="CJ38">
        <v>114.6</v>
      </c>
      <c r="CK38">
        <v>114.4</v>
      </c>
      <c r="CL38">
        <v>121.2</v>
      </c>
      <c r="CM38" t="s">
        <v>43</v>
      </c>
      <c r="CN38">
        <v>116.3</v>
      </c>
      <c r="CO38">
        <v>116.3</v>
      </c>
      <c r="CP38">
        <v>116.8</v>
      </c>
      <c r="CQ38">
        <v>118.9</v>
      </c>
      <c r="CR38">
        <v>118.1</v>
      </c>
      <c r="CS38">
        <v>117.2</v>
      </c>
      <c r="CT38">
        <v>117.1</v>
      </c>
      <c r="CU38">
        <v>116.3</v>
      </c>
      <c r="CV38">
        <v>114.9</v>
      </c>
      <c r="CW38">
        <v>114.3</v>
      </c>
      <c r="CX38">
        <v>114.8</v>
      </c>
      <c r="CY38">
        <v>115.9</v>
      </c>
      <c r="CZ38">
        <v>116.1</v>
      </c>
      <c r="DA38">
        <v>115.7</v>
      </c>
      <c r="DB38">
        <v>120.4</v>
      </c>
      <c r="DC38">
        <v>120.4</v>
      </c>
      <c r="DD38">
        <v>122.5</v>
      </c>
      <c r="DE38">
        <v>123.1</v>
      </c>
      <c r="DF38">
        <v>121.9</v>
      </c>
      <c r="DG38">
        <v>121.3</v>
      </c>
      <c r="DH38">
        <v>120.6</v>
      </c>
      <c r="DI38">
        <v>120.3</v>
      </c>
      <c r="DJ38">
        <v>120.5</v>
      </c>
      <c r="DK38">
        <v>121.2</v>
      </c>
      <c r="DL38">
        <v>121.4</v>
      </c>
      <c r="DM38">
        <v>121.5</v>
      </c>
      <c r="DN38">
        <v>122.2</v>
      </c>
      <c r="DO38">
        <v>123.1</v>
      </c>
      <c r="DP38">
        <v>123.4</v>
      </c>
      <c r="DQ38">
        <v>123.4</v>
      </c>
      <c r="DR38">
        <v>123.1</v>
      </c>
      <c r="DS38">
        <v>122.7</v>
      </c>
      <c r="DT38">
        <v>121.9</v>
      </c>
      <c r="DU38">
        <v>121.9</v>
      </c>
      <c r="DV38">
        <v>123.1</v>
      </c>
      <c r="DW38">
        <v>124.2</v>
      </c>
    </row>
    <row r="39" spans="1:127" x14ac:dyDescent="0.3">
      <c r="A39" t="s">
        <v>36</v>
      </c>
      <c r="B39" t="str">
        <f>VLOOKUP(C39,'Broader Categories'!$A$1:$B$28,2,FALSE)</f>
        <v>Food</v>
      </c>
      <c r="C39" t="s">
        <v>12</v>
      </c>
      <c r="D39">
        <v>101.8</v>
      </c>
      <c r="E39">
        <v>102.3</v>
      </c>
      <c r="F39">
        <v>102.4</v>
      </c>
      <c r="G39">
        <v>103.5</v>
      </c>
      <c r="H39">
        <v>105</v>
      </c>
      <c r="I39">
        <v>106.4</v>
      </c>
      <c r="J39">
        <v>107.5</v>
      </c>
      <c r="K39">
        <v>108.5</v>
      </c>
      <c r="L39">
        <v>109.1</v>
      </c>
      <c r="M39">
        <v>109.6</v>
      </c>
      <c r="N39">
        <v>110.3</v>
      </c>
      <c r="O39">
        <v>111.9</v>
      </c>
      <c r="P39">
        <v>112.7</v>
      </c>
      <c r="Q39">
        <v>113.5</v>
      </c>
      <c r="R39">
        <v>114.1</v>
      </c>
      <c r="S39">
        <v>115.3</v>
      </c>
      <c r="T39">
        <v>117</v>
      </c>
      <c r="U39">
        <v>118.3</v>
      </c>
      <c r="V39">
        <v>120</v>
      </c>
      <c r="W39">
        <v>122.1</v>
      </c>
      <c r="X39">
        <v>122.9</v>
      </c>
      <c r="Y39">
        <v>123.8</v>
      </c>
      <c r="Z39">
        <v>124.6</v>
      </c>
      <c r="AA39">
        <v>125.4</v>
      </c>
      <c r="AB39">
        <v>126.6</v>
      </c>
      <c r="AC39">
        <v>127.7</v>
      </c>
      <c r="AD39">
        <v>127.4</v>
      </c>
      <c r="AE39">
        <v>127.7</v>
      </c>
      <c r="AF39">
        <v>128.80000000000001</v>
      </c>
      <c r="AG39">
        <v>130.5</v>
      </c>
      <c r="AH39">
        <v>131.5</v>
      </c>
      <c r="AI39">
        <v>132.69999999999999</v>
      </c>
      <c r="AJ39">
        <v>134.4</v>
      </c>
      <c r="AK39">
        <v>135.80000000000001</v>
      </c>
      <c r="AL39">
        <v>137.1</v>
      </c>
      <c r="AM39">
        <v>138.6</v>
      </c>
      <c r="AN39">
        <v>139.5</v>
      </c>
      <c r="AO39">
        <v>139.69999999999999</v>
      </c>
      <c r="AP39">
        <v>140.1</v>
      </c>
      <c r="AQ39">
        <v>140.4</v>
      </c>
      <c r="AR39">
        <v>141.5</v>
      </c>
      <c r="AS39">
        <v>142.80000000000001</v>
      </c>
      <c r="AT39">
        <v>143.9</v>
      </c>
      <c r="AU39">
        <v>144.6</v>
      </c>
      <c r="AV39">
        <v>144.80000000000001</v>
      </c>
      <c r="AW39">
        <v>145.30000000000001</v>
      </c>
      <c r="AX39">
        <v>145.4</v>
      </c>
      <c r="AY39">
        <v>145.5</v>
      </c>
      <c r="AZ39">
        <v>144.9</v>
      </c>
      <c r="BA39">
        <v>144</v>
      </c>
      <c r="BB39">
        <v>142.6</v>
      </c>
      <c r="BC39">
        <v>141.30000000000001</v>
      </c>
      <c r="BD39">
        <v>139.9</v>
      </c>
      <c r="BE39">
        <v>138.80000000000001</v>
      </c>
      <c r="BF39">
        <v>137.80000000000001</v>
      </c>
      <c r="BG39">
        <v>137.5</v>
      </c>
      <c r="BH39">
        <v>137.30000000000001</v>
      </c>
      <c r="BI39">
        <v>137.80000000000001</v>
      </c>
      <c r="BJ39">
        <v>138.30000000000001</v>
      </c>
      <c r="BK39">
        <v>139.69999999999999</v>
      </c>
      <c r="BL39">
        <v>140.5</v>
      </c>
      <c r="BM39">
        <v>140.69999999999999</v>
      </c>
      <c r="BN39">
        <v>140.69999999999999</v>
      </c>
      <c r="BO39">
        <v>140.19999999999999</v>
      </c>
      <c r="BP39">
        <v>139.6</v>
      </c>
      <c r="BQ39">
        <v>140</v>
      </c>
      <c r="BR39">
        <v>140.30000000000001</v>
      </c>
      <c r="BS39">
        <v>141.1</v>
      </c>
      <c r="BT39">
        <v>141.19999999999999</v>
      </c>
      <c r="BU39">
        <v>141.1</v>
      </c>
      <c r="BV39">
        <v>141.4</v>
      </c>
      <c r="BW39">
        <v>141.5</v>
      </c>
      <c r="BX39">
        <v>140.4</v>
      </c>
      <c r="BY39">
        <v>140.80000000000001</v>
      </c>
      <c r="BZ39">
        <v>140.69999999999999</v>
      </c>
      <c r="CA39">
        <v>141</v>
      </c>
      <c r="CB39">
        <v>141</v>
      </c>
      <c r="CC39">
        <v>141.6</v>
      </c>
      <c r="CD39">
        <v>142.5</v>
      </c>
      <c r="CE39">
        <v>143.80000000000001</v>
      </c>
      <c r="CF39">
        <v>145.19999999999999</v>
      </c>
      <c r="CG39">
        <v>146.30000000000001</v>
      </c>
      <c r="CH39">
        <v>148</v>
      </c>
      <c r="CI39">
        <v>149.5</v>
      </c>
      <c r="CJ39">
        <v>150.4</v>
      </c>
      <c r="CK39">
        <v>151.5</v>
      </c>
      <c r="CL39">
        <v>154</v>
      </c>
      <c r="CM39" t="s">
        <v>43</v>
      </c>
      <c r="CN39">
        <v>158.80000000000001</v>
      </c>
      <c r="CO39">
        <v>158.80000000000001</v>
      </c>
      <c r="CP39">
        <v>160</v>
      </c>
      <c r="CQ39">
        <v>160.9</v>
      </c>
      <c r="CR39">
        <v>161.30000000000001</v>
      </c>
      <c r="CS39">
        <v>161.4</v>
      </c>
      <c r="CT39">
        <v>161.9</v>
      </c>
      <c r="CU39">
        <v>163</v>
      </c>
      <c r="CV39">
        <v>162.5</v>
      </c>
      <c r="CW39">
        <v>162.6</v>
      </c>
      <c r="CX39">
        <v>162.80000000000001</v>
      </c>
      <c r="CY39">
        <v>165.2</v>
      </c>
      <c r="CZ39">
        <v>165.5</v>
      </c>
      <c r="DA39">
        <v>165.5</v>
      </c>
      <c r="DB39">
        <v>166.2</v>
      </c>
      <c r="DC39">
        <v>166.2</v>
      </c>
      <c r="DD39">
        <v>166.8</v>
      </c>
      <c r="DE39">
        <v>167.2</v>
      </c>
      <c r="DF39">
        <v>168.2</v>
      </c>
      <c r="DG39">
        <v>169.8</v>
      </c>
      <c r="DH39">
        <v>172.2</v>
      </c>
      <c r="DI39">
        <v>174.7</v>
      </c>
      <c r="DJ39">
        <v>178</v>
      </c>
      <c r="DK39">
        <v>181.4</v>
      </c>
      <c r="DL39">
        <v>183.5</v>
      </c>
      <c r="DM39">
        <v>186.3</v>
      </c>
      <c r="DN39">
        <v>189.7</v>
      </c>
      <c r="DO39">
        <v>193.6</v>
      </c>
      <c r="DP39">
        <v>196.4</v>
      </c>
      <c r="DQ39">
        <v>198.8</v>
      </c>
      <c r="DR39">
        <v>200.5</v>
      </c>
      <c r="DS39">
        <v>204.3</v>
      </c>
      <c r="DT39">
        <v>204.8</v>
      </c>
      <c r="DU39">
        <v>204.8</v>
      </c>
      <c r="DV39">
        <v>207.8</v>
      </c>
      <c r="DW39">
        <v>211.9</v>
      </c>
    </row>
    <row r="40" spans="1:127" x14ac:dyDescent="0.3">
      <c r="A40" t="s">
        <v>36</v>
      </c>
      <c r="B40" t="str">
        <f>VLOOKUP(C40,'Broader Categories'!$A$1:$B$28,2,FALSE)</f>
        <v>Food</v>
      </c>
      <c r="C40" t="s">
        <v>13</v>
      </c>
      <c r="D40">
        <v>105.1</v>
      </c>
      <c r="E40">
        <v>106</v>
      </c>
      <c r="F40">
        <v>107</v>
      </c>
      <c r="G40">
        <v>108.2</v>
      </c>
      <c r="H40">
        <v>109.1</v>
      </c>
      <c r="I40">
        <v>110</v>
      </c>
      <c r="J40">
        <v>110.4</v>
      </c>
      <c r="K40">
        <v>110.9</v>
      </c>
      <c r="L40">
        <v>111.1</v>
      </c>
      <c r="M40">
        <v>111.4</v>
      </c>
      <c r="N40">
        <v>111.8</v>
      </c>
      <c r="O40">
        <v>112.1</v>
      </c>
      <c r="P40">
        <v>112.1</v>
      </c>
      <c r="Q40">
        <v>112.1</v>
      </c>
      <c r="R40">
        <v>112.2</v>
      </c>
      <c r="S40">
        <v>112.7</v>
      </c>
      <c r="T40">
        <v>112.9</v>
      </c>
      <c r="U40">
        <v>113.2</v>
      </c>
      <c r="V40">
        <v>113.8</v>
      </c>
      <c r="W40">
        <v>114.4</v>
      </c>
      <c r="X40">
        <v>114.8</v>
      </c>
      <c r="Y40">
        <v>115.2</v>
      </c>
      <c r="Z40">
        <v>115.8</v>
      </c>
      <c r="AA40">
        <v>116.1</v>
      </c>
      <c r="AB40">
        <v>116.5</v>
      </c>
      <c r="AC40">
        <v>116.8</v>
      </c>
      <c r="AD40">
        <v>117</v>
      </c>
      <c r="AE40">
        <v>117.2</v>
      </c>
      <c r="AF40">
        <v>117.7</v>
      </c>
      <c r="AG40">
        <v>118</v>
      </c>
      <c r="AH40">
        <v>118.3</v>
      </c>
      <c r="AI40">
        <v>118.8</v>
      </c>
      <c r="AJ40">
        <v>119.1</v>
      </c>
      <c r="AK40">
        <v>119.4</v>
      </c>
      <c r="AL40">
        <v>119.8</v>
      </c>
      <c r="AM40">
        <v>120.2</v>
      </c>
      <c r="AN40">
        <v>120.5</v>
      </c>
      <c r="AO40">
        <v>120.6</v>
      </c>
      <c r="AP40">
        <v>120.7</v>
      </c>
      <c r="AQ40">
        <v>121.1</v>
      </c>
      <c r="AR40">
        <v>121.5</v>
      </c>
      <c r="AS40">
        <v>121.6</v>
      </c>
      <c r="AT40">
        <v>121.7</v>
      </c>
      <c r="AU40">
        <v>121.9</v>
      </c>
      <c r="AV40">
        <v>122.1</v>
      </c>
      <c r="AW40">
        <v>122.5</v>
      </c>
      <c r="AX40">
        <v>122.7</v>
      </c>
      <c r="AY40">
        <v>123.1</v>
      </c>
      <c r="AZ40">
        <v>123.2</v>
      </c>
      <c r="BA40">
        <v>123.4</v>
      </c>
      <c r="BB40">
        <v>123.6</v>
      </c>
      <c r="BC40">
        <v>123.8</v>
      </c>
      <c r="BD40">
        <v>123.8</v>
      </c>
      <c r="BE40">
        <v>124.2</v>
      </c>
      <c r="BF40">
        <v>124.4</v>
      </c>
      <c r="BG40">
        <v>124.6</v>
      </c>
      <c r="BH40">
        <v>124.8</v>
      </c>
      <c r="BI40">
        <v>125.1</v>
      </c>
      <c r="BJ40">
        <v>125.4</v>
      </c>
      <c r="BK40">
        <v>125.7</v>
      </c>
      <c r="BL40">
        <v>125.9</v>
      </c>
      <c r="BM40">
        <v>125.9</v>
      </c>
      <c r="BN40">
        <v>126.2</v>
      </c>
      <c r="BO40">
        <v>126.5</v>
      </c>
      <c r="BP40">
        <v>126.6</v>
      </c>
      <c r="BQ40">
        <v>126.7</v>
      </c>
      <c r="BR40">
        <v>126.8</v>
      </c>
      <c r="BS40">
        <v>127.4</v>
      </c>
      <c r="BT40">
        <v>127.7</v>
      </c>
      <c r="BU40">
        <v>127.6</v>
      </c>
      <c r="BV40">
        <v>128</v>
      </c>
      <c r="BW40">
        <v>128.1</v>
      </c>
      <c r="BX40">
        <v>128.1</v>
      </c>
      <c r="BY40">
        <v>128.30000000000001</v>
      </c>
      <c r="BZ40">
        <v>128.5</v>
      </c>
      <c r="CA40">
        <v>128.9</v>
      </c>
      <c r="CB40">
        <v>129</v>
      </c>
      <c r="CC40">
        <v>129.5</v>
      </c>
      <c r="CD40">
        <v>129.80000000000001</v>
      </c>
      <c r="CE40">
        <v>130</v>
      </c>
      <c r="CF40">
        <v>130.19999999999999</v>
      </c>
      <c r="CG40">
        <v>130.5</v>
      </c>
      <c r="CH40">
        <v>130.80000000000001</v>
      </c>
      <c r="CI40">
        <v>131.1</v>
      </c>
      <c r="CJ40">
        <v>131.5</v>
      </c>
      <c r="CK40">
        <v>131.9</v>
      </c>
      <c r="CL40">
        <v>133.5</v>
      </c>
      <c r="CM40" t="s">
        <v>43</v>
      </c>
      <c r="CN40">
        <v>135.6</v>
      </c>
      <c r="CO40">
        <v>135.6</v>
      </c>
      <c r="CP40">
        <v>136.5</v>
      </c>
      <c r="CQ40">
        <v>137.69999999999999</v>
      </c>
      <c r="CR40">
        <v>139.19999999999999</v>
      </c>
      <c r="CS40">
        <v>141.5</v>
      </c>
      <c r="CT40">
        <v>143.30000000000001</v>
      </c>
      <c r="CU40">
        <v>145.9</v>
      </c>
      <c r="CV40">
        <v>149.19999999999999</v>
      </c>
      <c r="CW40">
        <v>150.69999999999999</v>
      </c>
      <c r="CX40">
        <v>151.5</v>
      </c>
      <c r="CY40">
        <v>152</v>
      </c>
      <c r="CZ40">
        <v>152.30000000000001</v>
      </c>
      <c r="DA40">
        <v>153.4</v>
      </c>
      <c r="DB40">
        <v>154.80000000000001</v>
      </c>
      <c r="DC40">
        <v>154.80000000000001</v>
      </c>
      <c r="DD40">
        <v>155.4</v>
      </c>
      <c r="DE40">
        <v>156.1</v>
      </c>
      <c r="DF40">
        <v>156.5</v>
      </c>
      <c r="DG40">
        <v>156.6</v>
      </c>
      <c r="DH40">
        <v>156.69999999999999</v>
      </c>
      <c r="DI40">
        <v>157.1</v>
      </c>
      <c r="DJ40">
        <v>157.5</v>
      </c>
      <c r="DK40">
        <v>158.5</v>
      </c>
      <c r="DL40">
        <v>159.1</v>
      </c>
      <c r="DM40">
        <v>159.80000000000001</v>
      </c>
      <c r="DN40">
        <v>160.5</v>
      </c>
      <c r="DO40">
        <v>161.1</v>
      </c>
      <c r="DP40">
        <v>161.6</v>
      </c>
      <c r="DQ40">
        <v>162.1</v>
      </c>
      <c r="DR40">
        <v>162.80000000000001</v>
      </c>
      <c r="DS40">
        <v>163.69999999999999</v>
      </c>
      <c r="DT40">
        <v>164.9</v>
      </c>
      <c r="DU40">
        <v>164.9</v>
      </c>
      <c r="DV40">
        <v>165.5</v>
      </c>
      <c r="DW40">
        <v>165.9</v>
      </c>
    </row>
    <row r="41" spans="1:127" x14ac:dyDescent="0.3">
      <c r="A41" t="s">
        <v>36</v>
      </c>
      <c r="B41" t="str">
        <f>VLOOKUP(C41,'Broader Categories'!$A$1:$B$28,2,FALSE)</f>
        <v>Food</v>
      </c>
      <c r="C41" t="s">
        <v>14</v>
      </c>
      <c r="D41">
        <v>107.9</v>
      </c>
      <c r="E41">
        <v>109</v>
      </c>
      <c r="F41">
        <v>109.8</v>
      </c>
      <c r="G41">
        <v>110.6</v>
      </c>
      <c r="H41">
        <v>111.3</v>
      </c>
      <c r="I41">
        <v>112.2</v>
      </c>
      <c r="J41">
        <v>113.1</v>
      </c>
      <c r="K41">
        <v>114.3</v>
      </c>
      <c r="L41">
        <v>115.4</v>
      </c>
      <c r="M41">
        <v>116</v>
      </c>
      <c r="N41">
        <v>117.1</v>
      </c>
      <c r="O41">
        <v>118.1</v>
      </c>
      <c r="P41">
        <v>119</v>
      </c>
      <c r="Q41">
        <v>119.9</v>
      </c>
      <c r="R41">
        <v>120.5</v>
      </c>
      <c r="S41">
        <v>121</v>
      </c>
      <c r="T41">
        <v>121.7</v>
      </c>
      <c r="U41">
        <v>122.4</v>
      </c>
      <c r="V41">
        <v>123.4</v>
      </c>
      <c r="W41">
        <v>124.7</v>
      </c>
      <c r="X41">
        <v>125.2</v>
      </c>
      <c r="Y41">
        <v>125.9</v>
      </c>
      <c r="Z41">
        <v>126.9</v>
      </c>
      <c r="AA41">
        <v>127.6</v>
      </c>
      <c r="AB41">
        <v>128</v>
      </c>
      <c r="AC41">
        <v>128.6</v>
      </c>
      <c r="AD41">
        <v>129.19999999999999</v>
      </c>
      <c r="AE41">
        <v>129.5</v>
      </c>
      <c r="AF41">
        <v>129.9</v>
      </c>
      <c r="AG41">
        <v>130.5</v>
      </c>
      <c r="AH41">
        <v>131.1</v>
      </c>
      <c r="AI41">
        <v>131.69999999999999</v>
      </c>
      <c r="AJ41">
        <v>132.30000000000001</v>
      </c>
      <c r="AK41">
        <v>132.9</v>
      </c>
      <c r="AL41">
        <v>133.69999999999999</v>
      </c>
      <c r="AM41">
        <v>134.19999999999999</v>
      </c>
      <c r="AN41">
        <v>134.69999999999999</v>
      </c>
      <c r="AO41">
        <v>135.19999999999999</v>
      </c>
      <c r="AP41">
        <v>135.4</v>
      </c>
      <c r="AQ41">
        <v>135.9</v>
      </c>
      <c r="AR41">
        <v>136.30000000000001</v>
      </c>
      <c r="AS41">
        <v>136.9</v>
      </c>
      <c r="AT41">
        <v>137.5</v>
      </c>
      <c r="AU41">
        <v>138.1</v>
      </c>
      <c r="AV41">
        <v>138.80000000000001</v>
      </c>
      <c r="AW41">
        <v>139.6</v>
      </c>
      <c r="AX41">
        <v>140.30000000000001</v>
      </c>
      <c r="AY41">
        <v>140.9</v>
      </c>
      <c r="AZ41">
        <v>141.6</v>
      </c>
      <c r="BA41">
        <v>141.9</v>
      </c>
      <c r="BB41">
        <v>142.4</v>
      </c>
      <c r="BC41">
        <v>142.6</v>
      </c>
      <c r="BD41">
        <v>142.9</v>
      </c>
      <c r="BE41">
        <v>143.1</v>
      </c>
      <c r="BF41">
        <v>143.69999999999999</v>
      </c>
      <c r="BG41">
        <v>144.5</v>
      </c>
      <c r="BH41">
        <v>145</v>
      </c>
      <c r="BI41">
        <v>145.5</v>
      </c>
      <c r="BJ41">
        <v>146</v>
      </c>
      <c r="BK41">
        <v>146.30000000000001</v>
      </c>
      <c r="BL41">
        <v>146.80000000000001</v>
      </c>
      <c r="BM41">
        <v>147.1</v>
      </c>
      <c r="BN41">
        <v>147.6</v>
      </c>
      <c r="BO41">
        <v>148.30000000000001</v>
      </c>
      <c r="BP41">
        <v>148.69999999999999</v>
      </c>
      <c r="BQ41">
        <v>149</v>
      </c>
      <c r="BR41">
        <v>149.4</v>
      </c>
      <c r="BS41">
        <v>150.4</v>
      </c>
      <c r="BT41">
        <v>151.30000000000001</v>
      </c>
      <c r="BU41">
        <v>152</v>
      </c>
      <c r="BV41">
        <v>152.6</v>
      </c>
      <c r="BW41">
        <v>152.9</v>
      </c>
      <c r="BX41">
        <v>153.19999999999999</v>
      </c>
      <c r="BY41">
        <v>153.5</v>
      </c>
      <c r="BZ41">
        <v>153.9</v>
      </c>
      <c r="CA41">
        <v>154.5</v>
      </c>
      <c r="CB41">
        <v>155.1</v>
      </c>
      <c r="CC41">
        <v>155.6</v>
      </c>
      <c r="CD41">
        <v>156.19999999999999</v>
      </c>
      <c r="CE41">
        <v>156.4</v>
      </c>
      <c r="CF41">
        <v>156.80000000000001</v>
      </c>
      <c r="CG41">
        <v>157.19999999999999</v>
      </c>
      <c r="CH41">
        <v>157.69999999999999</v>
      </c>
      <c r="CI41">
        <v>158.5</v>
      </c>
      <c r="CJ41">
        <v>159</v>
      </c>
      <c r="CK41">
        <v>159.1</v>
      </c>
      <c r="CL41" t="s">
        <v>43</v>
      </c>
      <c r="CM41" t="s">
        <v>43</v>
      </c>
      <c r="CN41">
        <v>161.69999999999999</v>
      </c>
      <c r="CO41">
        <v>161.69999999999999</v>
      </c>
      <c r="CP41">
        <v>163.30000000000001</v>
      </c>
      <c r="CQ41">
        <v>164.4</v>
      </c>
      <c r="CR41">
        <v>164.8</v>
      </c>
      <c r="CS41">
        <v>165.1</v>
      </c>
      <c r="CT41">
        <v>166.1</v>
      </c>
      <c r="CU41">
        <v>167.2</v>
      </c>
      <c r="CV41">
        <v>169.4</v>
      </c>
      <c r="CW41">
        <v>170.3</v>
      </c>
      <c r="CX41">
        <v>171.4</v>
      </c>
      <c r="CY41">
        <v>171.1</v>
      </c>
      <c r="CZ41">
        <v>173.3</v>
      </c>
      <c r="DA41">
        <v>173.5</v>
      </c>
      <c r="DB41">
        <v>175.1</v>
      </c>
      <c r="DC41">
        <v>175.1</v>
      </c>
      <c r="DD41">
        <v>175.9</v>
      </c>
      <c r="DE41">
        <v>176.8</v>
      </c>
      <c r="DF41">
        <v>178.2</v>
      </c>
      <c r="DG41">
        <v>179</v>
      </c>
      <c r="DH41">
        <v>180</v>
      </c>
      <c r="DI41">
        <v>181.5</v>
      </c>
      <c r="DJ41">
        <v>183.3</v>
      </c>
      <c r="DK41">
        <v>184.9</v>
      </c>
      <c r="DL41">
        <v>186.3</v>
      </c>
      <c r="DM41">
        <v>187.7</v>
      </c>
      <c r="DN41">
        <v>188.9</v>
      </c>
      <c r="DO41">
        <v>190.4</v>
      </c>
      <c r="DP41">
        <v>191.5</v>
      </c>
      <c r="DQ41">
        <v>192.4</v>
      </c>
      <c r="DR41">
        <v>193.3</v>
      </c>
      <c r="DS41">
        <v>194.3</v>
      </c>
      <c r="DT41">
        <v>196.6</v>
      </c>
      <c r="DU41">
        <v>196.6</v>
      </c>
      <c r="DV41">
        <v>197</v>
      </c>
      <c r="DW41">
        <v>197.7</v>
      </c>
    </row>
    <row r="42" spans="1:127" x14ac:dyDescent="0.3">
      <c r="A42" t="s">
        <v>36</v>
      </c>
      <c r="B42" t="str">
        <f>VLOOKUP(C42,'Broader Categories'!$A$1:$B$28,2,FALSE)</f>
        <v>Food</v>
      </c>
      <c r="C42" t="s">
        <v>15</v>
      </c>
      <c r="D42">
        <v>105.9</v>
      </c>
      <c r="E42">
        <v>107.2</v>
      </c>
      <c r="F42">
        <v>107.3</v>
      </c>
      <c r="G42">
        <v>108.8</v>
      </c>
      <c r="H42">
        <v>111.1</v>
      </c>
      <c r="I42">
        <v>115</v>
      </c>
      <c r="J42">
        <v>117.5</v>
      </c>
      <c r="K42">
        <v>119.6</v>
      </c>
      <c r="L42">
        <v>119.2</v>
      </c>
      <c r="M42">
        <v>120.8</v>
      </c>
      <c r="N42">
        <v>122.9</v>
      </c>
      <c r="O42">
        <v>117.8</v>
      </c>
      <c r="P42">
        <v>115.5</v>
      </c>
      <c r="Q42">
        <v>115.2</v>
      </c>
      <c r="R42">
        <v>116</v>
      </c>
      <c r="S42">
        <v>118.2</v>
      </c>
      <c r="T42">
        <v>120</v>
      </c>
      <c r="U42">
        <v>122</v>
      </c>
      <c r="V42">
        <v>127.1</v>
      </c>
      <c r="W42">
        <v>128.9</v>
      </c>
      <c r="X42">
        <v>126.7</v>
      </c>
      <c r="Y42">
        <v>125.8</v>
      </c>
      <c r="Z42">
        <v>125.4</v>
      </c>
      <c r="AA42">
        <v>124</v>
      </c>
      <c r="AB42">
        <v>123.5</v>
      </c>
      <c r="AC42">
        <v>123.7</v>
      </c>
      <c r="AD42">
        <v>123.9</v>
      </c>
      <c r="AE42">
        <v>124.6</v>
      </c>
      <c r="AF42">
        <v>126.1</v>
      </c>
      <c r="AG42">
        <v>128.5</v>
      </c>
      <c r="AH42">
        <v>129.5</v>
      </c>
      <c r="AI42">
        <v>131.1</v>
      </c>
      <c r="AJ42">
        <v>131.5</v>
      </c>
      <c r="AK42">
        <v>132.6</v>
      </c>
      <c r="AL42">
        <v>133.30000000000001</v>
      </c>
      <c r="AM42">
        <v>131.5</v>
      </c>
      <c r="AN42">
        <v>131.19999999999999</v>
      </c>
      <c r="AO42">
        <v>129.1</v>
      </c>
      <c r="AP42">
        <v>128.9</v>
      </c>
      <c r="AQ42">
        <v>131.80000000000001</v>
      </c>
      <c r="AR42">
        <v>134.6</v>
      </c>
      <c r="AS42">
        <v>138.19999999999999</v>
      </c>
      <c r="AT42">
        <v>139.80000000000001</v>
      </c>
      <c r="AU42">
        <v>137.6</v>
      </c>
      <c r="AV42">
        <v>135.69999999999999</v>
      </c>
      <c r="AW42">
        <v>136.30000000000001</v>
      </c>
      <c r="AX42">
        <v>135.19999999999999</v>
      </c>
      <c r="AY42">
        <v>132.80000000000001</v>
      </c>
      <c r="AZ42">
        <v>132</v>
      </c>
      <c r="BA42">
        <v>132.1</v>
      </c>
      <c r="BB42">
        <v>132.6</v>
      </c>
      <c r="BC42">
        <v>133.4</v>
      </c>
      <c r="BD42">
        <v>133.6</v>
      </c>
      <c r="BE42">
        <v>135.69999999999999</v>
      </c>
      <c r="BF42">
        <v>139.80000000000001</v>
      </c>
      <c r="BG42">
        <v>140.5</v>
      </c>
      <c r="BH42">
        <v>138</v>
      </c>
      <c r="BI42">
        <v>139.69999999999999</v>
      </c>
      <c r="BJ42">
        <v>141.5</v>
      </c>
      <c r="BK42">
        <v>138.80000000000001</v>
      </c>
      <c r="BL42">
        <v>137.19999999999999</v>
      </c>
      <c r="BM42">
        <v>135.6</v>
      </c>
      <c r="BN42">
        <v>134.80000000000001</v>
      </c>
      <c r="BO42">
        <v>135.69999999999999</v>
      </c>
      <c r="BP42">
        <v>136.4</v>
      </c>
      <c r="BQ42">
        <v>138.4</v>
      </c>
      <c r="BR42">
        <v>140.30000000000001</v>
      </c>
      <c r="BS42">
        <v>140.1</v>
      </c>
      <c r="BT42">
        <v>138.9</v>
      </c>
      <c r="BU42">
        <v>139.4</v>
      </c>
      <c r="BV42">
        <v>139.1</v>
      </c>
      <c r="BW42">
        <v>137.6</v>
      </c>
      <c r="BX42">
        <v>137.30000000000001</v>
      </c>
      <c r="BY42">
        <v>138</v>
      </c>
      <c r="BZ42">
        <v>139.6</v>
      </c>
      <c r="CA42">
        <v>143.80000000000001</v>
      </c>
      <c r="CB42">
        <v>145.6</v>
      </c>
      <c r="CC42">
        <v>147.69999999999999</v>
      </c>
      <c r="CD42">
        <v>149.1</v>
      </c>
      <c r="CE42">
        <v>149.5</v>
      </c>
      <c r="CF42">
        <v>151.9</v>
      </c>
      <c r="CG42">
        <v>153.6</v>
      </c>
      <c r="CH42">
        <v>156.30000000000001</v>
      </c>
      <c r="CI42">
        <v>154.4</v>
      </c>
      <c r="CJ42">
        <v>151.69999999999999</v>
      </c>
      <c r="CK42">
        <v>150.1</v>
      </c>
      <c r="CL42">
        <v>153.5</v>
      </c>
      <c r="CM42" t="s">
        <v>43</v>
      </c>
      <c r="CN42">
        <v>157</v>
      </c>
      <c r="CO42">
        <v>157</v>
      </c>
      <c r="CP42">
        <v>159.9</v>
      </c>
      <c r="CQ42">
        <v>161.30000000000001</v>
      </c>
      <c r="CR42">
        <v>164.4</v>
      </c>
      <c r="CS42">
        <v>167</v>
      </c>
      <c r="CT42">
        <v>167</v>
      </c>
      <c r="CU42">
        <v>163.4</v>
      </c>
      <c r="CV42">
        <v>160.80000000000001</v>
      </c>
      <c r="CW42">
        <v>160.4</v>
      </c>
      <c r="CX42">
        <v>162</v>
      </c>
      <c r="CY42">
        <v>164.2</v>
      </c>
      <c r="CZ42">
        <v>166.2</v>
      </c>
      <c r="DA42">
        <v>167.9</v>
      </c>
      <c r="DB42">
        <v>167.3</v>
      </c>
      <c r="DC42">
        <v>167.3</v>
      </c>
      <c r="DD42">
        <v>171.5</v>
      </c>
      <c r="DE42">
        <v>173.5</v>
      </c>
      <c r="DF42">
        <v>172.2</v>
      </c>
      <c r="DG42">
        <v>170.3</v>
      </c>
      <c r="DH42">
        <v>170.2</v>
      </c>
      <c r="DI42">
        <v>171.5</v>
      </c>
      <c r="DJ42">
        <v>174.5</v>
      </c>
      <c r="DK42">
        <v>177.5</v>
      </c>
      <c r="DL42">
        <v>179.3</v>
      </c>
      <c r="DM42">
        <v>179.4</v>
      </c>
      <c r="DN42">
        <v>180.4</v>
      </c>
      <c r="DO42">
        <v>181.8</v>
      </c>
      <c r="DP42">
        <v>183.3</v>
      </c>
      <c r="DQ42">
        <v>181.3</v>
      </c>
      <c r="DR42">
        <v>178.6</v>
      </c>
      <c r="DS42">
        <v>179.5</v>
      </c>
      <c r="DT42">
        <v>180.7</v>
      </c>
      <c r="DU42">
        <v>180.8</v>
      </c>
      <c r="DV42">
        <v>182.1</v>
      </c>
      <c r="DW42">
        <v>183.1</v>
      </c>
    </row>
    <row r="43" spans="1:127" x14ac:dyDescent="0.3">
      <c r="A43" t="s">
        <v>36</v>
      </c>
      <c r="B43" t="str">
        <f>VLOOKUP(C43,'Broader Categories'!$A$1:$B$28,2,FALSE)</f>
        <v>Food</v>
      </c>
      <c r="C43" t="s">
        <v>16</v>
      </c>
      <c r="D43">
        <v>105.2</v>
      </c>
      <c r="E43">
        <v>106</v>
      </c>
      <c r="F43">
        <v>106.8</v>
      </c>
      <c r="G43">
        <v>108.5</v>
      </c>
      <c r="H43">
        <v>109.8</v>
      </c>
      <c r="I43">
        <v>110.9</v>
      </c>
      <c r="J43">
        <v>111.7</v>
      </c>
      <c r="K43">
        <v>112.4</v>
      </c>
      <c r="L43">
        <v>112.9</v>
      </c>
      <c r="M43">
        <v>113.5</v>
      </c>
      <c r="N43">
        <v>114.1</v>
      </c>
      <c r="O43">
        <v>115</v>
      </c>
      <c r="P43">
        <v>115.7</v>
      </c>
      <c r="Q43">
        <v>116.2</v>
      </c>
      <c r="R43">
        <v>116.7</v>
      </c>
      <c r="S43">
        <v>117.6</v>
      </c>
      <c r="T43">
        <v>118.3</v>
      </c>
      <c r="U43">
        <v>119</v>
      </c>
      <c r="V43">
        <v>121</v>
      </c>
      <c r="W43">
        <v>123</v>
      </c>
      <c r="X43">
        <v>124.3</v>
      </c>
      <c r="Y43">
        <v>124.3</v>
      </c>
      <c r="Z43">
        <v>125.8</v>
      </c>
      <c r="AA43">
        <v>126.4</v>
      </c>
      <c r="AB43">
        <v>127.4</v>
      </c>
      <c r="AC43">
        <v>128.1</v>
      </c>
      <c r="AD43">
        <v>128.80000000000001</v>
      </c>
      <c r="AE43">
        <v>130.1</v>
      </c>
      <c r="AF43">
        <v>131.30000000000001</v>
      </c>
      <c r="AG43">
        <v>132.1</v>
      </c>
      <c r="AH43">
        <v>133.1</v>
      </c>
      <c r="AI43">
        <v>134.19999999999999</v>
      </c>
      <c r="AJ43">
        <v>134.69999999999999</v>
      </c>
      <c r="AK43">
        <v>135.30000000000001</v>
      </c>
      <c r="AL43">
        <v>137.6</v>
      </c>
      <c r="AM43">
        <v>138.19999999999999</v>
      </c>
      <c r="AN43">
        <v>139.5</v>
      </c>
      <c r="AO43">
        <v>140</v>
      </c>
      <c r="AP43">
        <v>140.6</v>
      </c>
      <c r="AQ43">
        <v>141.5</v>
      </c>
      <c r="AR43">
        <v>142.19999999999999</v>
      </c>
      <c r="AS43">
        <v>142.69999999999999</v>
      </c>
      <c r="AT43">
        <v>142.9</v>
      </c>
      <c r="AU43">
        <v>143.6</v>
      </c>
      <c r="AV43">
        <v>143.9</v>
      </c>
      <c r="AW43">
        <v>144.30000000000001</v>
      </c>
      <c r="AX43">
        <v>144.30000000000001</v>
      </c>
      <c r="AY43">
        <v>145</v>
      </c>
      <c r="AZ43">
        <v>145.6</v>
      </c>
      <c r="BA43">
        <v>146.30000000000001</v>
      </c>
      <c r="BB43">
        <v>147.5</v>
      </c>
      <c r="BC43">
        <v>148</v>
      </c>
      <c r="BD43">
        <v>148.30000000000001</v>
      </c>
      <c r="BE43">
        <v>148.6</v>
      </c>
      <c r="BF43">
        <v>150.5</v>
      </c>
      <c r="BG43">
        <v>152.1</v>
      </c>
      <c r="BH43">
        <v>153.6</v>
      </c>
      <c r="BI43">
        <v>154.6</v>
      </c>
      <c r="BJ43">
        <v>156.19999999999999</v>
      </c>
      <c r="BK43">
        <v>157</v>
      </c>
      <c r="BL43">
        <v>157.69999999999999</v>
      </c>
      <c r="BM43">
        <v>159.30000000000001</v>
      </c>
      <c r="BN43">
        <v>159.69999999999999</v>
      </c>
      <c r="BO43">
        <v>159.19999999999999</v>
      </c>
      <c r="BP43">
        <v>160.30000000000001</v>
      </c>
      <c r="BQ43">
        <v>161</v>
      </c>
      <c r="BR43">
        <v>161.4</v>
      </c>
      <c r="BS43">
        <v>162.1</v>
      </c>
      <c r="BT43">
        <v>163.30000000000001</v>
      </c>
      <c r="BU43">
        <v>164</v>
      </c>
      <c r="BV43">
        <v>164.4</v>
      </c>
      <c r="BW43">
        <v>164.6</v>
      </c>
      <c r="BX43">
        <v>164.7</v>
      </c>
      <c r="BY43">
        <v>164.9</v>
      </c>
      <c r="BZ43">
        <v>165.3</v>
      </c>
      <c r="CA43">
        <v>166.2</v>
      </c>
      <c r="CB43">
        <v>166.7</v>
      </c>
      <c r="CC43">
        <v>167.2</v>
      </c>
      <c r="CD43">
        <v>167.9</v>
      </c>
      <c r="CE43">
        <v>168.6</v>
      </c>
      <c r="CF43">
        <v>169.3</v>
      </c>
      <c r="CG43">
        <v>169.9</v>
      </c>
      <c r="CH43">
        <v>170.4</v>
      </c>
      <c r="CI43">
        <v>170.8</v>
      </c>
      <c r="CJ43">
        <v>172</v>
      </c>
      <c r="CK43">
        <v>173.3</v>
      </c>
      <c r="CL43" t="s">
        <v>43</v>
      </c>
      <c r="CM43" t="s">
        <v>43</v>
      </c>
      <c r="CN43">
        <v>186.7</v>
      </c>
      <c r="CO43">
        <v>186.7</v>
      </c>
      <c r="CP43">
        <v>187.2</v>
      </c>
      <c r="CQ43">
        <v>188.7</v>
      </c>
      <c r="CR43">
        <v>188.7</v>
      </c>
      <c r="CS43">
        <v>188.8</v>
      </c>
      <c r="CT43">
        <v>190.2</v>
      </c>
      <c r="CU43">
        <v>191.8</v>
      </c>
      <c r="CV43">
        <v>193.3</v>
      </c>
      <c r="CW43">
        <v>193.5</v>
      </c>
      <c r="CX43">
        <v>194.4</v>
      </c>
      <c r="CY43">
        <v>198.2</v>
      </c>
      <c r="CZ43">
        <v>195.6</v>
      </c>
      <c r="DA43">
        <v>195.5</v>
      </c>
      <c r="DB43">
        <v>196.5</v>
      </c>
      <c r="DC43">
        <v>196.5</v>
      </c>
      <c r="DD43">
        <v>197</v>
      </c>
      <c r="DE43">
        <v>197</v>
      </c>
      <c r="DF43">
        <v>196.8</v>
      </c>
      <c r="DG43">
        <v>196.4</v>
      </c>
      <c r="DH43">
        <v>196.5</v>
      </c>
      <c r="DI43">
        <v>197.5</v>
      </c>
      <c r="DJ43">
        <v>197.1</v>
      </c>
      <c r="DK43">
        <v>197.5</v>
      </c>
      <c r="DL43">
        <v>198.3</v>
      </c>
      <c r="DM43">
        <v>198.6</v>
      </c>
      <c r="DN43">
        <v>198.7</v>
      </c>
      <c r="DO43">
        <v>199.7</v>
      </c>
      <c r="DP43">
        <v>200.1</v>
      </c>
      <c r="DQ43">
        <v>200.6</v>
      </c>
      <c r="DR43">
        <v>201.1</v>
      </c>
      <c r="DS43">
        <v>201.6</v>
      </c>
      <c r="DT43">
        <v>202.7</v>
      </c>
      <c r="DU43">
        <v>202.7</v>
      </c>
      <c r="DV43">
        <v>203.5</v>
      </c>
      <c r="DW43">
        <v>204.2</v>
      </c>
    </row>
    <row r="44" spans="1:127" x14ac:dyDescent="0.3">
      <c r="A44" t="s">
        <v>36</v>
      </c>
      <c r="B44" t="str">
        <f>VLOOKUP(C44,'Broader Categories'!$A$1:$B$28,2,FALSE)</f>
        <v>Apparels</v>
      </c>
      <c r="C44" t="s">
        <v>18</v>
      </c>
      <c r="D44">
        <v>105.9</v>
      </c>
      <c r="E44">
        <v>106.6</v>
      </c>
      <c r="F44">
        <v>107.2</v>
      </c>
      <c r="G44">
        <v>107.9</v>
      </c>
      <c r="H44">
        <v>108.5</v>
      </c>
      <c r="I44">
        <v>109.2</v>
      </c>
      <c r="J44">
        <v>109.8</v>
      </c>
      <c r="K44">
        <v>110.6</v>
      </c>
      <c r="L44">
        <v>111.4</v>
      </c>
      <c r="M44">
        <v>112.5</v>
      </c>
      <c r="N44">
        <v>113.5</v>
      </c>
      <c r="O44">
        <v>114.2</v>
      </c>
      <c r="P44">
        <v>114.8</v>
      </c>
      <c r="Q44">
        <v>115.3</v>
      </c>
      <c r="R44">
        <v>115.8</v>
      </c>
      <c r="S44">
        <v>116.3</v>
      </c>
      <c r="T44">
        <v>116.8</v>
      </c>
      <c r="U44">
        <v>117.4</v>
      </c>
      <c r="V44">
        <v>118</v>
      </c>
      <c r="W44">
        <v>118.6</v>
      </c>
      <c r="X44">
        <v>119.2</v>
      </c>
      <c r="Y44">
        <v>119.6</v>
      </c>
      <c r="Z44">
        <v>120.3</v>
      </c>
      <c r="AA44">
        <v>120.7</v>
      </c>
      <c r="AB44">
        <v>121</v>
      </c>
      <c r="AC44">
        <v>121.3</v>
      </c>
      <c r="AD44">
        <v>121.7</v>
      </c>
      <c r="AE44">
        <v>122.1</v>
      </c>
      <c r="AF44">
        <v>122.4</v>
      </c>
      <c r="AG44">
        <v>123.2</v>
      </c>
      <c r="AH44">
        <v>123.5</v>
      </c>
      <c r="AI44">
        <v>123.7</v>
      </c>
      <c r="AJ44">
        <v>124</v>
      </c>
      <c r="AK44">
        <v>124.4</v>
      </c>
      <c r="AL44">
        <v>125</v>
      </c>
      <c r="AM44">
        <v>125.4</v>
      </c>
      <c r="AN44">
        <v>125.8</v>
      </c>
      <c r="AO44">
        <v>126.2</v>
      </c>
      <c r="AP44">
        <v>126.4</v>
      </c>
      <c r="AQ44">
        <v>126.8</v>
      </c>
      <c r="AR44">
        <v>127.2</v>
      </c>
      <c r="AS44">
        <v>127.6</v>
      </c>
      <c r="AT44">
        <v>127.9</v>
      </c>
      <c r="AU44">
        <v>128.30000000000001</v>
      </c>
      <c r="AV44">
        <v>128.69999999999999</v>
      </c>
      <c r="AW44">
        <v>129.1</v>
      </c>
      <c r="AX44">
        <v>129.6</v>
      </c>
      <c r="AY44">
        <v>130</v>
      </c>
      <c r="AZ44">
        <v>130.19999999999999</v>
      </c>
      <c r="BA44">
        <v>130.5</v>
      </c>
      <c r="BB44">
        <v>130.80000000000001</v>
      </c>
      <c r="BC44">
        <v>131.19999999999999</v>
      </c>
      <c r="BD44">
        <v>131.5</v>
      </c>
      <c r="BE44">
        <v>131.5</v>
      </c>
      <c r="BF44">
        <v>131.6</v>
      </c>
      <c r="BG44">
        <v>132.69999999999999</v>
      </c>
      <c r="BH44">
        <v>133.30000000000001</v>
      </c>
      <c r="BI44">
        <v>134</v>
      </c>
      <c r="BJ44">
        <v>135</v>
      </c>
      <c r="BK44">
        <v>135.6</v>
      </c>
      <c r="BL44">
        <v>136</v>
      </c>
      <c r="BM44">
        <v>136.30000000000001</v>
      </c>
      <c r="BN44">
        <v>136.69999999999999</v>
      </c>
      <c r="BO44">
        <v>137.80000000000001</v>
      </c>
      <c r="BP44">
        <v>138.6</v>
      </c>
      <c r="BQ44">
        <v>138.9</v>
      </c>
      <c r="BR44">
        <v>139.6</v>
      </c>
      <c r="BS44">
        <v>140</v>
      </c>
      <c r="BT44">
        <v>140.80000000000001</v>
      </c>
      <c r="BU44">
        <v>141.5</v>
      </c>
      <c r="BV44">
        <v>142.4</v>
      </c>
      <c r="BW44">
        <v>142.69999999999999</v>
      </c>
      <c r="BX44">
        <v>143</v>
      </c>
      <c r="BY44">
        <v>143.30000000000001</v>
      </c>
      <c r="BZ44">
        <v>143.5</v>
      </c>
      <c r="CA44">
        <v>144</v>
      </c>
      <c r="CB44">
        <v>144.30000000000001</v>
      </c>
      <c r="CC44">
        <v>144.69999999999999</v>
      </c>
      <c r="CD44">
        <v>145</v>
      </c>
      <c r="CE44">
        <v>145.30000000000001</v>
      </c>
      <c r="CF44">
        <v>145.9</v>
      </c>
      <c r="CG44">
        <v>146.30000000000001</v>
      </c>
      <c r="CH44">
        <v>146.80000000000001</v>
      </c>
      <c r="CI44">
        <v>147</v>
      </c>
      <c r="CJ44">
        <v>147.30000000000001</v>
      </c>
      <c r="CK44">
        <v>147.69999999999999</v>
      </c>
      <c r="CL44" t="s">
        <v>43</v>
      </c>
      <c r="CM44" t="s">
        <v>43</v>
      </c>
      <c r="CN44">
        <v>149.1</v>
      </c>
      <c r="CO44">
        <v>149.1</v>
      </c>
      <c r="CP44">
        <v>150</v>
      </c>
      <c r="CQ44">
        <v>150.19999999999999</v>
      </c>
      <c r="CR44">
        <v>150.5</v>
      </c>
      <c r="CS44">
        <v>151.1</v>
      </c>
      <c r="CT44">
        <v>151.9</v>
      </c>
      <c r="CU44">
        <v>152.5</v>
      </c>
      <c r="CV44">
        <v>154.19999999999999</v>
      </c>
      <c r="CW44">
        <v>155.1</v>
      </c>
      <c r="CX44">
        <v>155.9</v>
      </c>
      <c r="CY44">
        <v>156.5</v>
      </c>
      <c r="CZ44">
        <v>157.30000000000001</v>
      </c>
      <c r="DA44">
        <v>157.9</v>
      </c>
      <c r="DB44">
        <v>159.80000000000001</v>
      </c>
      <c r="DC44">
        <v>159.80000000000001</v>
      </c>
      <c r="DD44">
        <v>160.80000000000001</v>
      </c>
      <c r="DE44">
        <v>162.30000000000001</v>
      </c>
      <c r="DF44">
        <v>163.30000000000001</v>
      </c>
      <c r="DG44">
        <v>164.7</v>
      </c>
      <c r="DH44">
        <v>165.7</v>
      </c>
      <c r="DI44">
        <v>167.1</v>
      </c>
      <c r="DJ44">
        <v>168.4</v>
      </c>
      <c r="DK44">
        <v>170</v>
      </c>
      <c r="DL44">
        <v>171.6</v>
      </c>
      <c r="DM44">
        <v>172.7</v>
      </c>
      <c r="DN44">
        <v>173.7</v>
      </c>
      <c r="DO44">
        <v>175</v>
      </c>
      <c r="DP44">
        <v>175.5</v>
      </c>
      <c r="DQ44">
        <v>176.7</v>
      </c>
      <c r="DR44">
        <v>177.7</v>
      </c>
      <c r="DS44">
        <v>178.7</v>
      </c>
      <c r="DT44">
        <v>180.3</v>
      </c>
      <c r="DU44">
        <v>180.2</v>
      </c>
      <c r="DV44">
        <v>181</v>
      </c>
      <c r="DW44">
        <v>181.3</v>
      </c>
    </row>
    <row r="45" spans="1:127" x14ac:dyDescent="0.3">
      <c r="A45" t="s">
        <v>36</v>
      </c>
      <c r="B45" t="str">
        <f>VLOOKUP(C45,'Broader Categories'!$A$1:$B$28,2,FALSE)</f>
        <v>Apparels</v>
      </c>
      <c r="C45" t="s">
        <v>19</v>
      </c>
      <c r="D45">
        <v>105</v>
      </c>
      <c r="E45">
        <v>105.5</v>
      </c>
      <c r="F45">
        <v>106</v>
      </c>
      <c r="G45">
        <v>106.4</v>
      </c>
      <c r="H45">
        <v>106.7</v>
      </c>
      <c r="I45">
        <v>107.2</v>
      </c>
      <c r="J45">
        <v>107.8</v>
      </c>
      <c r="K45">
        <v>108.3</v>
      </c>
      <c r="L45">
        <v>109</v>
      </c>
      <c r="M45">
        <v>109.7</v>
      </c>
      <c r="N45">
        <v>110.3</v>
      </c>
      <c r="O45">
        <v>110.9</v>
      </c>
      <c r="P45">
        <v>111.3</v>
      </c>
      <c r="Q45">
        <v>111.7</v>
      </c>
      <c r="R45">
        <v>112.1</v>
      </c>
      <c r="S45">
        <v>112.5</v>
      </c>
      <c r="T45">
        <v>112.9</v>
      </c>
      <c r="U45">
        <v>113.2</v>
      </c>
      <c r="V45">
        <v>113.6</v>
      </c>
      <c r="W45">
        <v>114.1</v>
      </c>
      <c r="X45">
        <v>114.5</v>
      </c>
      <c r="Y45">
        <v>114.9</v>
      </c>
      <c r="Z45">
        <v>115.4</v>
      </c>
      <c r="AA45">
        <v>115.8</v>
      </c>
      <c r="AB45">
        <v>116.1</v>
      </c>
      <c r="AC45">
        <v>116.5</v>
      </c>
      <c r="AD45">
        <v>116.9</v>
      </c>
      <c r="AE45">
        <v>117.2</v>
      </c>
      <c r="AF45">
        <v>117.4</v>
      </c>
      <c r="AG45">
        <v>117.6</v>
      </c>
      <c r="AH45">
        <v>117.9</v>
      </c>
      <c r="AI45">
        <v>118.2</v>
      </c>
      <c r="AJ45">
        <v>118.6</v>
      </c>
      <c r="AK45">
        <v>118.8</v>
      </c>
      <c r="AL45">
        <v>119.3</v>
      </c>
      <c r="AM45">
        <v>119.5</v>
      </c>
      <c r="AN45">
        <v>119.8</v>
      </c>
      <c r="AO45">
        <v>120.1</v>
      </c>
      <c r="AP45">
        <v>120.3</v>
      </c>
      <c r="AQ45">
        <v>120.5</v>
      </c>
      <c r="AR45">
        <v>120.7</v>
      </c>
      <c r="AS45">
        <v>121.1</v>
      </c>
      <c r="AT45">
        <v>121.1</v>
      </c>
      <c r="AU45">
        <v>121.4</v>
      </c>
      <c r="AV45">
        <v>121.6</v>
      </c>
      <c r="AW45">
        <v>121.9</v>
      </c>
      <c r="AX45">
        <v>122.1</v>
      </c>
      <c r="AY45">
        <v>122.2</v>
      </c>
      <c r="AZ45">
        <v>122.3</v>
      </c>
      <c r="BA45">
        <v>122.5</v>
      </c>
      <c r="BB45">
        <v>122.8</v>
      </c>
      <c r="BC45">
        <v>123</v>
      </c>
      <c r="BD45">
        <v>123.2</v>
      </c>
      <c r="BE45">
        <v>123.2</v>
      </c>
      <c r="BF45">
        <v>123.7</v>
      </c>
      <c r="BG45">
        <v>124.3</v>
      </c>
      <c r="BH45">
        <v>124.6</v>
      </c>
      <c r="BI45">
        <v>124.9</v>
      </c>
      <c r="BJ45">
        <v>125.4</v>
      </c>
      <c r="BK45">
        <v>125.6</v>
      </c>
      <c r="BL45">
        <v>125.9</v>
      </c>
      <c r="BM45">
        <v>126.1</v>
      </c>
      <c r="BN45">
        <v>126.7</v>
      </c>
      <c r="BO45">
        <v>127.4</v>
      </c>
      <c r="BP45">
        <v>127.9</v>
      </c>
      <c r="BQ45">
        <v>128.69999999999999</v>
      </c>
      <c r="BR45">
        <v>128.9</v>
      </c>
      <c r="BS45">
        <v>129</v>
      </c>
      <c r="BT45">
        <v>129.30000000000001</v>
      </c>
      <c r="BU45">
        <v>129.80000000000001</v>
      </c>
      <c r="BV45">
        <v>130.19999999999999</v>
      </c>
      <c r="BW45">
        <v>130.30000000000001</v>
      </c>
      <c r="BX45">
        <v>130.4</v>
      </c>
      <c r="BY45">
        <v>130.80000000000001</v>
      </c>
      <c r="BZ45">
        <v>131.19999999999999</v>
      </c>
      <c r="CA45">
        <v>131.69999999999999</v>
      </c>
      <c r="CB45">
        <v>131.69999999999999</v>
      </c>
      <c r="CC45">
        <v>131.9</v>
      </c>
      <c r="CD45">
        <v>132.19999999999999</v>
      </c>
      <c r="CE45">
        <v>132.19999999999999</v>
      </c>
      <c r="CF45">
        <v>132.4</v>
      </c>
      <c r="CG45">
        <v>132.6</v>
      </c>
      <c r="CH45">
        <v>132.80000000000001</v>
      </c>
      <c r="CI45">
        <v>133.19999999999999</v>
      </c>
      <c r="CJ45">
        <v>133.5</v>
      </c>
      <c r="CK45">
        <v>133.80000000000001</v>
      </c>
      <c r="CL45" t="s">
        <v>43</v>
      </c>
      <c r="CM45" t="s">
        <v>43</v>
      </c>
      <c r="CN45">
        <v>136.6</v>
      </c>
      <c r="CO45">
        <v>136.6</v>
      </c>
      <c r="CP45">
        <v>135.19999999999999</v>
      </c>
      <c r="CQ45">
        <v>136.30000000000001</v>
      </c>
      <c r="CR45">
        <v>136.1</v>
      </c>
      <c r="CS45">
        <v>136.4</v>
      </c>
      <c r="CT45">
        <v>136.69999999999999</v>
      </c>
      <c r="CU45">
        <v>137.30000000000001</v>
      </c>
      <c r="CV45">
        <v>138.19999999999999</v>
      </c>
      <c r="CW45">
        <v>138.69999999999999</v>
      </c>
      <c r="CX45">
        <v>139.30000000000001</v>
      </c>
      <c r="CY45">
        <v>140.19999999999999</v>
      </c>
      <c r="CZ45">
        <v>140.5</v>
      </c>
      <c r="DA45">
        <v>141.9</v>
      </c>
      <c r="DB45">
        <v>143.6</v>
      </c>
      <c r="DC45">
        <v>143.6</v>
      </c>
      <c r="DD45">
        <v>144.4</v>
      </c>
      <c r="DE45">
        <v>145.30000000000001</v>
      </c>
      <c r="DF45">
        <v>146.69999999999999</v>
      </c>
      <c r="DG45">
        <v>148.5</v>
      </c>
      <c r="DH45">
        <v>150.4</v>
      </c>
      <c r="DI45">
        <v>152.6</v>
      </c>
      <c r="DJ45">
        <v>154.5</v>
      </c>
      <c r="DK45">
        <v>155.9</v>
      </c>
      <c r="DL45">
        <v>157.4</v>
      </c>
      <c r="DM45">
        <v>158.69999999999999</v>
      </c>
      <c r="DN45">
        <v>160</v>
      </c>
      <c r="DO45">
        <v>161.69999999999999</v>
      </c>
      <c r="DP45">
        <v>162.6</v>
      </c>
      <c r="DQ45">
        <v>163.5</v>
      </c>
      <c r="DR45">
        <v>164.5</v>
      </c>
      <c r="DS45">
        <v>165.3</v>
      </c>
      <c r="DT45">
        <v>167</v>
      </c>
      <c r="DU45">
        <v>167</v>
      </c>
      <c r="DV45">
        <v>167.7</v>
      </c>
      <c r="DW45">
        <v>168.1</v>
      </c>
    </row>
    <row r="46" spans="1:127" x14ac:dyDescent="0.3">
      <c r="A46" t="s">
        <v>36</v>
      </c>
      <c r="B46" t="str">
        <f>VLOOKUP(C46,'Broader Categories'!$A$1:$B$28,2,FALSE)</f>
        <v>Apparels</v>
      </c>
      <c r="C46" t="s">
        <v>20</v>
      </c>
      <c r="D46">
        <v>105.8</v>
      </c>
      <c r="E46">
        <v>106.4</v>
      </c>
      <c r="F46">
        <v>107</v>
      </c>
      <c r="G46">
        <v>107.7</v>
      </c>
      <c r="H46">
        <v>108.3</v>
      </c>
      <c r="I46">
        <v>108.9</v>
      </c>
      <c r="J46">
        <v>109.5</v>
      </c>
      <c r="K46">
        <v>110.2</v>
      </c>
      <c r="L46">
        <v>111.1</v>
      </c>
      <c r="M46">
        <v>112</v>
      </c>
      <c r="N46">
        <v>113</v>
      </c>
      <c r="O46">
        <v>113.7</v>
      </c>
      <c r="P46">
        <v>114.3</v>
      </c>
      <c r="Q46">
        <v>114.7</v>
      </c>
      <c r="R46">
        <v>115.2</v>
      </c>
      <c r="S46">
        <v>115.7</v>
      </c>
      <c r="T46">
        <v>116.2</v>
      </c>
      <c r="U46">
        <v>116.7</v>
      </c>
      <c r="V46">
        <v>117.4</v>
      </c>
      <c r="W46">
        <v>117.9</v>
      </c>
      <c r="X46">
        <v>118.4</v>
      </c>
      <c r="Y46">
        <v>118.9</v>
      </c>
      <c r="Z46">
        <v>119.5</v>
      </c>
      <c r="AA46">
        <v>120</v>
      </c>
      <c r="AB46">
        <v>120.2</v>
      </c>
      <c r="AC46">
        <v>120.6</v>
      </c>
      <c r="AD46">
        <v>120.9</v>
      </c>
      <c r="AE46">
        <v>121.3</v>
      </c>
      <c r="AF46">
        <v>121.6</v>
      </c>
      <c r="AG46">
        <v>122.3</v>
      </c>
      <c r="AH46">
        <v>122.7</v>
      </c>
      <c r="AI46">
        <v>122.9</v>
      </c>
      <c r="AJ46">
        <v>123.2</v>
      </c>
      <c r="AK46">
        <v>123.6</v>
      </c>
      <c r="AL46">
        <v>124.2</v>
      </c>
      <c r="AM46">
        <v>124.5</v>
      </c>
      <c r="AN46">
        <v>124.9</v>
      </c>
      <c r="AO46">
        <v>125.3</v>
      </c>
      <c r="AP46">
        <v>125.5</v>
      </c>
      <c r="AQ46">
        <v>125.8</v>
      </c>
      <c r="AR46">
        <v>126.2</v>
      </c>
      <c r="AS46">
        <v>126.6</v>
      </c>
      <c r="AT46">
        <v>126.9</v>
      </c>
      <c r="AU46">
        <v>127.3</v>
      </c>
      <c r="AV46">
        <v>127.7</v>
      </c>
      <c r="AW46">
        <v>128</v>
      </c>
      <c r="AX46">
        <v>128.5</v>
      </c>
      <c r="AY46">
        <v>128.80000000000001</v>
      </c>
      <c r="AZ46">
        <v>129</v>
      </c>
      <c r="BA46">
        <v>129.30000000000001</v>
      </c>
      <c r="BB46">
        <v>129.6</v>
      </c>
      <c r="BC46">
        <v>130</v>
      </c>
      <c r="BD46">
        <v>130.19999999999999</v>
      </c>
      <c r="BE46">
        <v>130.19999999999999</v>
      </c>
      <c r="BF46">
        <v>130.4</v>
      </c>
      <c r="BG46">
        <v>131.4</v>
      </c>
      <c r="BH46">
        <v>132</v>
      </c>
      <c r="BI46">
        <v>132.6</v>
      </c>
      <c r="BJ46">
        <v>133.5</v>
      </c>
      <c r="BK46">
        <v>134</v>
      </c>
      <c r="BL46">
        <v>134.4</v>
      </c>
      <c r="BM46">
        <v>134.69999999999999</v>
      </c>
      <c r="BN46">
        <v>135.19999999999999</v>
      </c>
      <c r="BO46">
        <v>136.19999999999999</v>
      </c>
      <c r="BP46">
        <v>137</v>
      </c>
      <c r="BQ46">
        <v>137.4</v>
      </c>
      <c r="BR46">
        <v>137.9</v>
      </c>
      <c r="BS46">
        <v>138.30000000000001</v>
      </c>
      <c r="BT46">
        <v>139.1</v>
      </c>
      <c r="BU46">
        <v>139.69999999999999</v>
      </c>
      <c r="BV46">
        <v>140.5</v>
      </c>
      <c r="BW46">
        <v>140.80000000000001</v>
      </c>
      <c r="BX46">
        <v>141.1</v>
      </c>
      <c r="BY46">
        <v>141.4</v>
      </c>
      <c r="BZ46">
        <v>141.6</v>
      </c>
      <c r="CA46">
        <v>142.19999999999999</v>
      </c>
      <c r="CB46">
        <v>142.4</v>
      </c>
      <c r="CC46">
        <v>142.69999999999999</v>
      </c>
      <c r="CD46">
        <v>143</v>
      </c>
      <c r="CE46">
        <v>143.30000000000001</v>
      </c>
      <c r="CF46">
        <v>143.9</v>
      </c>
      <c r="CG46">
        <v>144.19999999999999</v>
      </c>
      <c r="CH46">
        <v>144.6</v>
      </c>
      <c r="CI46">
        <v>144.9</v>
      </c>
      <c r="CJ46">
        <v>145.19999999999999</v>
      </c>
      <c r="CK46">
        <v>145.6</v>
      </c>
      <c r="CL46" t="s">
        <v>43</v>
      </c>
      <c r="CM46" t="s">
        <v>43</v>
      </c>
      <c r="CN46">
        <v>147.19999999999999</v>
      </c>
      <c r="CO46">
        <v>147.19999999999999</v>
      </c>
      <c r="CP46">
        <v>147.80000000000001</v>
      </c>
      <c r="CQ46">
        <v>148.1</v>
      </c>
      <c r="CR46">
        <v>148.30000000000001</v>
      </c>
      <c r="CS46">
        <v>148.80000000000001</v>
      </c>
      <c r="CT46">
        <v>149.6</v>
      </c>
      <c r="CU46">
        <v>150.19999999999999</v>
      </c>
      <c r="CV46">
        <v>151.80000000000001</v>
      </c>
      <c r="CW46">
        <v>152.6</v>
      </c>
      <c r="CX46">
        <v>153.4</v>
      </c>
      <c r="CY46">
        <v>154.1</v>
      </c>
      <c r="CZ46">
        <v>154.80000000000001</v>
      </c>
      <c r="DA46">
        <v>155.5</v>
      </c>
      <c r="DB46">
        <v>157.30000000000001</v>
      </c>
      <c r="DC46">
        <v>157.4</v>
      </c>
      <c r="DD46">
        <v>158.30000000000001</v>
      </c>
      <c r="DE46">
        <v>159.69999999999999</v>
      </c>
      <c r="DF46">
        <v>160.69999999999999</v>
      </c>
      <c r="DG46">
        <v>162.19999999999999</v>
      </c>
      <c r="DH46">
        <v>163.4</v>
      </c>
      <c r="DI46">
        <v>164.9</v>
      </c>
      <c r="DJ46">
        <v>166.3</v>
      </c>
      <c r="DK46">
        <v>167.8</v>
      </c>
      <c r="DL46">
        <v>169.4</v>
      </c>
      <c r="DM46">
        <v>170.6</v>
      </c>
      <c r="DN46">
        <v>171.6</v>
      </c>
      <c r="DO46">
        <v>173</v>
      </c>
      <c r="DP46">
        <v>173.6</v>
      </c>
      <c r="DQ46">
        <v>174.7</v>
      </c>
      <c r="DR46">
        <v>175.7</v>
      </c>
      <c r="DS46">
        <v>176.6</v>
      </c>
      <c r="DT46">
        <v>178.2</v>
      </c>
      <c r="DU46">
        <v>178.2</v>
      </c>
      <c r="DV46">
        <v>178.9</v>
      </c>
      <c r="DW46">
        <v>179.3</v>
      </c>
    </row>
    <row r="47" spans="1:127" x14ac:dyDescent="0.3">
      <c r="A47" t="s">
        <v>36</v>
      </c>
      <c r="B47" t="str">
        <f>VLOOKUP(C47,'Broader Categories'!$A$1:$B$28,2,FALSE)</f>
        <v>Home</v>
      </c>
      <c r="C47" t="s">
        <v>22</v>
      </c>
      <c r="D47">
        <v>100.3</v>
      </c>
      <c r="E47">
        <v>100.4</v>
      </c>
      <c r="F47">
        <v>100.4</v>
      </c>
      <c r="G47">
        <v>100.5</v>
      </c>
      <c r="H47">
        <v>100.5</v>
      </c>
      <c r="I47">
        <v>106.6</v>
      </c>
      <c r="J47">
        <v>107.7</v>
      </c>
      <c r="K47">
        <v>108.9</v>
      </c>
      <c r="L47">
        <v>109.7</v>
      </c>
      <c r="M47">
        <v>110.5</v>
      </c>
      <c r="N47">
        <v>111.1</v>
      </c>
      <c r="O47">
        <v>110.7</v>
      </c>
      <c r="P47">
        <v>111.6</v>
      </c>
      <c r="Q47">
        <v>112.5</v>
      </c>
      <c r="R47">
        <v>113.2</v>
      </c>
      <c r="S47">
        <v>113.9</v>
      </c>
      <c r="T47">
        <v>114.3</v>
      </c>
      <c r="U47">
        <v>113.9</v>
      </c>
      <c r="V47">
        <v>114.8</v>
      </c>
      <c r="W47">
        <v>115.5</v>
      </c>
      <c r="X47">
        <v>116.1</v>
      </c>
      <c r="Y47">
        <v>116.7</v>
      </c>
      <c r="Z47">
        <v>117.1</v>
      </c>
      <c r="AA47">
        <v>116.5</v>
      </c>
      <c r="AB47">
        <v>117.3</v>
      </c>
      <c r="AC47">
        <v>118.1</v>
      </c>
      <c r="AD47">
        <v>118.6</v>
      </c>
      <c r="AE47">
        <v>119.2</v>
      </c>
      <c r="AF47">
        <v>119.6</v>
      </c>
      <c r="AG47">
        <v>119</v>
      </c>
      <c r="AH47">
        <v>119.9</v>
      </c>
      <c r="AI47">
        <v>120.9</v>
      </c>
      <c r="AJ47">
        <v>121.6</v>
      </c>
      <c r="AK47">
        <v>122.4</v>
      </c>
      <c r="AL47">
        <v>122.9</v>
      </c>
      <c r="AM47">
        <v>122.4</v>
      </c>
      <c r="AN47">
        <v>123.4</v>
      </c>
      <c r="AO47">
        <v>124.4</v>
      </c>
      <c r="AP47">
        <v>124.9</v>
      </c>
      <c r="AQ47">
        <v>125.6</v>
      </c>
      <c r="AR47">
        <v>126</v>
      </c>
      <c r="AS47">
        <v>125.5</v>
      </c>
      <c r="AT47">
        <v>126.4</v>
      </c>
      <c r="AU47">
        <v>127.3</v>
      </c>
      <c r="AV47">
        <v>127.9</v>
      </c>
      <c r="AW47">
        <v>128.69999999999999</v>
      </c>
      <c r="AX47">
        <v>129.1</v>
      </c>
      <c r="AY47">
        <v>128.5</v>
      </c>
      <c r="AZ47">
        <v>129.6</v>
      </c>
      <c r="BA47">
        <v>130.5</v>
      </c>
      <c r="BB47">
        <v>131.1</v>
      </c>
      <c r="BC47">
        <v>131.69999999999999</v>
      </c>
      <c r="BD47">
        <v>132.1</v>
      </c>
      <c r="BE47">
        <v>131.4</v>
      </c>
      <c r="BF47">
        <v>132.6</v>
      </c>
      <c r="BG47">
        <v>134.4</v>
      </c>
      <c r="BH47">
        <v>135.69999999999999</v>
      </c>
      <c r="BI47">
        <v>137.30000000000001</v>
      </c>
      <c r="BJ47">
        <v>138.6</v>
      </c>
      <c r="BK47">
        <v>139.1</v>
      </c>
      <c r="BL47">
        <v>140.4</v>
      </c>
      <c r="BM47">
        <v>141.30000000000001</v>
      </c>
      <c r="BN47">
        <v>142</v>
      </c>
      <c r="BO47">
        <v>142.9</v>
      </c>
      <c r="BP47">
        <v>143.19999999999999</v>
      </c>
      <c r="BQ47">
        <v>142.5</v>
      </c>
      <c r="BR47">
        <v>143.6</v>
      </c>
      <c r="BS47">
        <v>144.6</v>
      </c>
      <c r="BT47">
        <v>145.30000000000001</v>
      </c>
      <c r="BU47">
        <v>146.30000000000001</v>
      </c>
      <c r="BV47">
        <v>146.9</v>
      </c>
      <c r="BW47">
        <v>146.5</v>
      </c>
      <c r="BX47">
        <v>147.69999999999999</v>
      </c>
      <c r="BY47">
        <v>148.5</v>
      </c>
      <c r="BZ47">
        <v>149</v>
      </c>
      <c r="CA47">
        <v>150.1</v>
      </c>
      <c r="CB47">
        <v>149.4</v>
      </c>
      <c r="CC47">
        <v>150.6</v>
      </c>
      <c r="CD47">
        <v>151.6</v>
      </c>
      <c r="CE47">
        <v>152.19999999999999</v>
      </c>
      <c r="CF47">
        <v>153</v>
      </c>
      <c r="CG47">
        <v>153.5</v>
      </c>
      <c r="CH47">
        <v>152.80000000000001</v>
      </c>
      <c r="CI47">
        <v>153.9</v>
      </c>
      <c r="CJ47">
        <v>154.80000000000001</v>
      </c>
      <c r="CK47">
        <v>154.5</v>
      </c>
      <c r="CL47">
        <v>155.6</v>
      </c>
      <c r="CM47" t="s">
        <v>43</v>
      </c>
      <c r="CN47">
        <v>154.69999999999999</v>
      </c>
      <c r="CO47">
        <v>154.69999999999999</v>
      </c>
      <c r="CP47">
        <v>155.5</v>
      </c>
      <c r="CQ47">
        <v>156.30000000000001</v>
      </c>
      <c r="CR47">
        <v>156.5</v>
      </c>
      <c r="CS47">
        <v>158</v>
      </c>
      <c r="CT47">
        <v>158.4</v>
      </c>
      <c r="CU47">
        <v>157.69999999999999</v>
      </c>
      <c r="CV47">
        <v>159.80000000000001</v>
      </c>
      <c r="CW47">
        <v>159.9</v>
      </c>
      <c r="CX47">
        <v>161.4</v>
      </c>
      <c r="CY47">
        <v>161.6</v>
      </c>
      <c r="CZ47">
        <v>160.5</v>
      </c>
      <c r="DA47">
        <v>161.5</v>
      </c>
      <c r="DB47">
        <v>162.1</v>
      </c>
      <c r="DC47">
        <v>162.1</v>
      </c>
      <c r="DD47">
        <v>163.6</v>
      </c>
      <c r="DE47">
        <v>164.2</v>
      </c>
      <c r="DF47">
        <v>163.4</v>
      </c>
      <c r="DG47">
        <v>164.5</v>
      </c>
      <c r="DH47">
        <v>165.5</v>
      </c>
      <c r="DI47">
        <v>165.3</v>
      </c>
      <c r="DJ47">
        <v>167</v>
      </c>
      <c r="DK47">
        <v>167.5</v>
      </c>
      <c r="DL47">
        <v>166.8</v>
      </c>
      <c r="DM47">
        <v>167.8</v>
      </c>
      <c r="DN47">
        <v>169</v>
      </c>
      <c r="DO47">
        <v>169.5</v>
      </c>
      <c r="DP47">
        <v>171.2</v>
      </c>
      <c r="DQ47">
        <v>171.8</v>
      </c>
      <c r="DR47">
        <v>170.7</v>
      </c>
      <c r="DS47">
        <v>172.1</v>
      </c>
      <c r="DT47">
        <v>173.5</v>
      </c>
      <c r="DU47">
        <v>173.5</v>
      </c>
      <c r="DV47">
        <v>175.2</v>
      </c>
      <c r="DW47">
        <v>175.6</v>
      </c>
    </row>
    <row r="48" spans="1:127" x14ac:dyDescent="0.3">
      <c r="A48" t="s">
        <v>36</v>
      </c>
      <c r="B48" t="str">
        <f>VLOOKUP(C48,'Broader Categories'!$A$1:$B$28,2,FALSE)</f>
        <v>Home</v>
      </c>
      <c r="C48" t="s">
        <v>23</v>
      </c>
      <c r="D48">
        <v>105.4</v>
      </c>
      <c r="E48">
        <v>105.7</v>
      </c>
      <c r="F48">
        <v>106</v>
      </c>
      <c r="G48">
        <v>106.4</v>
      </c>
      <c r="H48">
        <v>107.2</v>
      </c>
      <c r="I48">
        <v>108</v>
      </c>
      <c r="J48">
        <v>108.6</v>
      </c>
      <c r="K48">
        <v>109.3</v>
      </c>
      <c r="L48">
        <v>109.5</v>
      </c>
      <c r="M48">
        <v>109.7</v>
      </c>
      <c r="N48">
        <v>110</v>
      </c>
      <c r="O48">
        <v>110.4</v>
      </c>
      <c r="P48">
        <v>111</v>
      </c>
      <c r="Q48">
        <v>111.1</v>
      </c>
      <c r="R48">
        <v>110.9</v>
      </c>
      <c r="S48">
        <v>110.9</v>
      </c>
      <c r="T48">
        <v>111.1</v>
      </c>
      <c r="U48">
        <v>111.2</v>
      </c>
      <c r="V48">
        <v>111.6</v>
      </c>
      <c r="W48">
        <v>111.8</v>
      </c>
      <c r="X48">
        <v>111.8</v>
      </c>
      <c r="Y48">
        <v>112</v>
      </c>
      <c r="Z48">
        <v>112.6</v>
      </c>
      <c r="AA48">
        <v>113</v>
      </c>
      <c r="AB48">
        <v>113.4</v>
      </c>
      <c r="AC48">
        <v>114</v>
      </c>
      <c r="AD48">
        <v>114.4</v>
      </c>
      <c r="AE48">
        <v>114.7</v>
      </c>
      <c r="AF48">
        <v>114.9</v>
      </c>
      <c r="AG48">
        <v>115.1</v>
      </c>
      <c r="AH48">
        <v>115.3</v>
      </c>
      <c r="AI48">
        <v>115.3</v>
      </c>
      <c r="AJ48">
        <v>115.1</v>
      </c>
      <c r="AK48">
        <v>114.9</v>
      </c>
      <c r="AL48">
        <v>115.1</v>
      </c>
      <c r="AM48">
        <v>116</v>
      </c>
      <c r="AN48">
        <v>116.9</v>
      </c>
      <c r="AO48">
        <v>116</v>
      </c>
      <c r="AP48">
        <v>114.8</v>
      </c>
      <c r="AQ48">
        <v>114.6</v>
      </c>
      <c r="AR48">
        <v>115</v>
      </c>
      <c r="AS48">
        <v>115.5</v>
      </c>
      <c r="AT48">
        <v>115.5</v>
      </c>
      <c r="AU48">
        <v>114.7</v>
      </c>
      <c r="AV48">
        <v>114.8</v>
      </c>
      <c r="AW48">
        <v>115.2</v>
      </c>
      <c r="AX48">
        <v>116.2</v>
      </c>
      <c r="AY48">
        <v>117.8</v>
      </c>
      <c r="AZ48">
        <v>118</v>
      </c>
      <c r="BA48">
        <v>119.2</v>
      </c>
      <c r="BB48">
        <v>120.8</v>
      </c>
      <c r="BC48">
        <v>121.4</v>
      </c>
      <c r="BD48">
        <v>120.1</v>
      </c>
      <c r="BE48">
        <v>119</v>
      </c>
      <c r="BF48">
        <v>119.7</v>
      </c>
      <c r="BG48">
        <v>118.9</v>
      </c>
      <c r="BH48">
        <v>120.6</v>
      </c>
      <c r="BI48">
        <v>122.6</v>
      </c>
      <c r="BJ48">
        <v>125.7</v>
      </c>
      <c r="BK48">
        <v>126.8</v>
      </c>
      <c r="BL48">
        <v>127.3</v>
      </c>
      <c r="BM48">
        <v>127.3</v>
      </c>
      <c r="BN48">
        <v>126.4</v>
      </c>
      <c r="BO48">
        <v>124.6</v>
      </c>
      <c r="BP48">
        <v>124.7</v>
      </c>
      <c r="BQ48">
        <v>126.5</v>
      </c>
      <c r="BR48">
        <v>128.1</v>
      </c>
      <c r="BS48">
        <v>129.80000000000001</v>
      </c>
      <c r="BT48">
        <v>131.19999999999999</v>
      </c>
      <c r="BU48">
        <v>133.4</v>
      </c>
      <c r="BV48">
        <v>136.69999999999999</v>
      </c>
      <c r="BW48">
        <v>132.4</v>
      </c>
      <c r="BX48">
        <v>128.6</v>
      </c>
      <c r="BY48">
        <v>127.1</v>
      </c>
      <c r="BZ48">
        <v>128.80000000000001</v>
      </c>
      <c r="CA48">
        <v>129.4</v>
      </c>
      <c r="CB48">
        <v>130.5</v>
      </c>
      <c r="CC48">
        <v>127</v>
      </c>
      <c r="CD48">
        <v>125.5</v>
      </c>
      <c r="CE48">
        <v>126.6</v>
      </c>
      <c r="CF48">
        <v>128.9</v>
      </c>
      <c r="CG48">
        <v>132.19999999999999</v>
      </c>
      <c r="CH48">
        <v>133.6</v>
      </c>
      <c r="CI48">
        <v>135.1</v>
      </c>
      <c r="CJ48">
        <v>138.9</v>
      </c>
      <c r="CK48">
        <v>141.4</v>
      </c>
      <c r="CL48">
        <v>137.1</v>
      </c>
      <c r="CM48" t="s">
        <v>43</v>
      </c>
      <c r="CN48">
        <v>137.1</v>
      </c>
      <c r="CO48">
        <v>137.1</v>
      </c>
      <c r="CP48">
        <v>138.30000000000001</v>
      </c>
      <c r="CQ48">
        <v>137.19999999999999</v>
      </c>
      <c r="CR48">
        <v>137.1</v>
      </c>
      <c r="CS48">
        <v>137.30000000000001</v>
      </c>
      <c r="CT48">
        <v>137.9</v>
      </c>
      <c r="CU48">
        <v>142.9</v>
      </c>
      <c r="CV48">
        <v>149.1</v>
      </c>
      <c r="CW48">
        <v>154.80000000000001</v>
      </c>
      <c r="CX48">
        <v>154.9</v>
      </c>
      <c r="CY48">
        <v>155.5</v>
      </c>
      <c r="CZ48">
        <v>156.1</v>
      </c>
      <c r="DA48">
        <v>157.69999999999999</v>
      </c>
      <c r="DB48">
        <v>160.69999999999999</v>
      </c>
      <c r="DC48">
        <v>160.80000000000001</v>
      </c>
      <c r="DD48">
        <v>162.19999999999999</v>
      </c>
      <c r="DE48">
        <v>161.6</v>
      </c>
      <c r="DF48">
        <v>161.69999999999999</v>
      </c>
      <c r="DG48">
        <v>161.6</v>
      </c>
      <c r="DH48">
        <v>163</v>
      </c>
      <c r="DI48">
        <v>164.5</v>
      </c>
      <c r="DJ48">
        <v>170.5</v>
      </c>
      <c r="DK48">
        <v>173.5</v>
      </c>
      <c r="DL48">
        <v>174.9</v>
      </c>
      <c r="DM48">
        <v>179.5</v>
      </c>
      <c r="DN48">
        <v>178.4</v>
      </c>
      <c r="DO48">
        <v>179.2</v>
      </c>
      <c r="DP48">
        <v>180</v>
      </c>
      <c r="DQ48">
        <v>180.3</v>
      </c>
      <c r="DR48">
        <v>180.6</v>
      </c>
      <c r="DS48">
        <v>180.1</v>
      </c>
      <c r="DT48">
        <v>182.8</v>
      </c>
      <c r="DU48">
        <v>182.6</v>
      </c>
      <c r="DV48">
        <v>182.1</v>
      </c>
      <c r="DW48">
        <v>183.4</v>
      </c>
    </row>
    <row r="49" spans="1:127" x14ac:dyDescent="0.3">
      <c r="A49" t="s">
        <v>36</v>
      </c>
      <c r="B49" t="str">
        <f>VLOOKUP(C49,'Broader Categories'!$A$1:$B$28,2,FALSE)</f>
        <v>Home</v>
      </c>
      <c r="C49" t="s">
        <v>24</v>
      </c>
      <c r="D49">
        <v>104.8</v>
      </c>
      <c r="E49">
        <v>105.2</v>
      </c>
      <c r="F49">
        <v>105.7</v>
      </c>
      <c r="G49">
        <v>106.5</v>
      </c>
      <c r="H49">
        <v>107.1</v>
      </c>
      <c r="I49">
        <v>107.7</v>
      </c>
      <c r="J49">
        <v>108.1</v>
      </c>
      <c r="K49">
        <v>108.7</v>
      </c>
      <c r="L49">
        <v>109.6</v>
      </c>
      <c r="M49">
        <v>110.2</v>
      </c>
      <c r="N49">
        <v>110.9</v>
      </c>
      <c r="O49">
        <v>111.3</v>
      </c>
      <c r="P49">
        <v>111.9</v>
      </c>
      <c r="Q49">
        <v>112.6</v>
      </c>
      <c r="R49">
        <v>113</v>
      </c>
      <c r="S49">
        <v>113.4</v>
      </c>
      <c r="T49">
        <v>114.1</v>
      </c>
      <c r="U49">
        <v>114.3</v>
      </c>
      <c r="V49">
        <v>114.9</v>
      </c>
      <c r="W49">
        <v>115.3</v>
      </c>
      <c r="X49">
        <v>115.5</v>
      </c>
      <c r="Y49">
        <v>115.8</v>
      </c>
      <c r="Z49">
        <v>116.4</v>
      </c>
      <c r="AA49">
        <v>116.8</v>
      </c>
      <c r="AB49">
        <v>117.2</v>
      </c>
      <c r="AC49">
        <v>117.7</v>
      </c>
      <c r="AD49">
        <v>118</v>
      </c>
      <c r="AE49">
        <v>118.4</v>
      </c>
      <c r="AF49">
        <v>118.7</v>
      </c>
      <c r="AG49">
        <v>119.2</v>
      </c>
      <c r="AH49">
        <v>119.5</v>
      </c>
      <c r="AI49">
        <v>120</v>
      </c>
      <c r="AJ49">
        <v>120.4</v>
      </c>
      <c r="AK49">
        <v>120.7</v>
      </c>
      <c r="AL49">
        <v>121</v>
      </c>
      <c r="AM49">
        <v>121</v>
      </c>
      <c r="AN49">
        <v>121.6</v>
      </c>
      <c r="AO49">
        <v>121.8</v>
      </c>
      <c r="AP49">
        <v>122.3</v>
      </c>
      <c r="AQ49">
        <v>122.8</v>
      </c>
      <c r="AR49">
        <v>123.2</v>
      </c>
      <c r="AS49">
        <v>123.2</v>
      </c>
      <c r="AT49">
        <v>123.5</v>
      </c>
      <c r="AU49">
        <v>123.9</v>
      </c>
      <c r="AV49">
        <v>124.3</v>
      </c>
      <c r="AW49">
        <v>124.5</v>
      </c>
      <c r="AX49">
        <v>124.7</v>
      </c>
      <c r="AY49">
        <v>125</v>
      </c>
      <c r="AZ49">
        <v>125.1</v>
      </c>
      <c r="BA49">
        <v>125.3</v>
      </c>
      <c r="BB49">
        <v>125.6</v>
      </c>
      <c r="BC49">
        <v>126</v>
      </c>
      <c r="BD49">
        <v>126.5</v>
      </c>
      <c r="BE49">
        <v>126.8</v>
      </c>
      <c r="BF49">
        <v>127.2</v>
      </c>
      <c r="BG49">
        <v>127.7</v>
      </c>
      <c r="BH49">
        <v>128.1</v>
      </c>
      <c r="BI49">
        <v>128.30000000000001</v>
      </c>
      <c r="BJ49">
        <v>128.80000000000001</v>
      </c>
      <c r="BK49">
        <v>129.30000000000001</v>
      </c>
      <c r="BL49">
        <v>129.5</v>
      </c>
      <c r="BM49">
        <v>129.9</v>
      </c>
      <c r="BN49">
        <v>130.80000000000001</v>
      </c>
      <c r="BO49">
        <v>131.80000000000001</v>
      </c>
      <c r="BP49">
        <v>132.5</v>
      </c>
      <c r="BQ49">
        <v>133.1</v>
      </c>
      <c r="BR49">
        <v>133.6</v>
      </c>
      <c r="BS49">
        <v>134.4</v>
      </c>
      <c r="BT49">
        <v>134.9</v>
      </c>
      <c r="BU49">
        <v>135.1</v>
      </c>
      <c r="BV49">
        <v>135.80000000000001</v>
      </c>
      <c r="BW49">
        <v>136.19999999999999</v>
      </c>
      <c r="BX49">
        <v>136.30000000000001</v>
      </c>
      <c r="BY49">
        <v>136.6</v>
      </c>
      <c r="BZ49">
        <v>136.80000000000001</v>
      </c>
      <c r="CA49">
        <v>137.19999999999999</v>
      </c>
      <c r="CB49">
        <v>137.4</v>
      </c>
      <c r="CC49">
        <v>137.69999999999999</v>
      </c>
      <c r="CD49">
        <v>138.1</v>
      </c>
      <c r="CE49">
        <v>138.30000000000001</v>
      </c>
      <c r="CF49">
        <v>138.69999999999999</v>
      </c>
      <c r="CG49">
        <v>139.1</v>
      </c>
      <c r="CH49">
        <v>139.80000000000001</v>
      </c>
      <c r="CI49">
        <v>140.1</v>
      </c>
      <c r="CJ49">
        <v>140.4</v>
      </c>
      <c r="CK49">
        <v>140.80000000000001</v>
      </c>
      <c r="CL49" t="s">
        <v>43</v>
      </c>
      <c r="CM49" t="s">
        <v>43</v>
      </c>
      <c r="CN49">
        <v>140.4</v>
      </c>
      <c r="CO49">
        <v>140.4</v>
      </c>
      <c r="CP49">
        <v>144.5</v>
      </c>
      <c r="CQ49">
        <v>145.4</v>
      </c>
      <c r="CR49">
        <v>145.1</v>
      </c>
      <c r="CS49">
        <v>145.1</v>
      </c>
      <c r="CT49">
        <v>145.5</v>
      </c>
      <c r="CU49">
        <v>145.69999999999999</v>
      </c>
      <c r="CV49">
        <v>146.5</v>
      </c>
      <c r="CW49">
        <v>147.19999999999999</v>
      </c>
      <c r="CX49">
        <v>147.6</v>
      </c>
      <c r="CY49">
        <v>150.1</v>
      </c>
      <c r="CZ49">
        <v>149.80000000000001</v>
      </c>
      <c r="DA49">
        <v>150.69999999999999</v>
      </c>
      <c r="DB49">
        <v>153.19999999999999</v>
      </c>
      <c r="DC49">
        <v>153.30000000000001</v>
      </c>
      <c r="DD49">
        <v>154.30000000000001</v>
      </c>
      <c r="DE49">
        <v>155.19999999999999</v>
      </c>
      <c r="DF49">
        <v>156</v>
      </c>
      <c r="DG49">
        <v>156.80000000000001</v>
      </c>
      <c r="DH49">
        <v>157.4</v>
      </c>
      <c r="DI49">
        <v>158.6</v>
      </c>
      <c r="DJ49">
        <v>159.80000000000001</v>
      </c>
      <c r="DK49">
        <v>161.1</v>
      </c>
      <c r="DL49">
        <v>162.1</v>
      </c>
      <c r="DM49">
        <v>163.1</v>
      </c>
      <c r="DN49">
        <v>164.2</v>
      </c>
      <c r="DO49">
        <v>165</v>
      </c>
      <c r="DP49">
        <v>166</v>
      </c>
      <c r="DQ49">
        <v>166.9</v>
      </c>
      <c r="DR49">
        <v>167.3</v>
      </c>
      <c r="DS49">
        <v>168</v>
      </c>
      <c r="DT49">
        <v>169.2</v>
      </c>
      <c r="DU49">
        <v>169.2</v>
      </c>
      <c r="DV49">
        <v>169.6</v>
      </c>
      <c r="DW49">
        <v>170.1</v>
      </c>
    </row>
    <row r="50" spans="1:127" x14ac:dyDescent="0.3">
      <c r="A50" t="s">
        <v>36</v>
      </c>
      <c r="B50" t="str">
        <f>VLOOKUP(C50,'Broader Categories'!$A$1:$B$28,2,FALSE)</f>
        <v>Health</v>
      </c>
      <c r="C50" t="s">
        <v>26</v>
      </c>
      <c r="D50">
        <v>104.1</v>
      </c>
      <c r="E50">
        <v>104.7</v>
      </c>
      <c r="F50">
        <v>105.2</v>
      </c>
      <c r="G50">
        <v>105.7</v>
      </c>
      <c r="H50">
        <v>106.2</v>
      </c>
      <c r="I50">
        <v>106.5</v>
      </c>
      <c r="J50">
        <v>107.1</v>
      </c>
      <c r="K50">
        <v>107.6</v>
      </c>
      <c r="L50">
        <v>107.9</v>
      </c>
      <c r="M50">
        <v>108.2</v>
      </c>
      <c r="N50">
        <v>108.6</v>
      </c>
      <c r="O50">
        <v>109</v>
      </c>
      <c r="P50">
        <v>109.7</v>
      </c>
      <c r="Q50">
        <v>110.4</v>
      </c>
      <c r="R50">
        <v>110.8</v>
      </c>
      <c r="S50">
        <v>111</v>
      </c>
      <c r="T50">
        <v>111.2</v>
      </c>
      <c r="U50">
        <v>111.4</v>
      </c>
      <c r="V50">
        <v>111.5</v>
      </c>
      <c r="W50">
        <v>112.2</v>
      </c>
      <c r="X50">
        <v>112.3</v>
      </c>
      <c r="Y50">
        <v>112.6</v>
      </c>
      <c r="Z50">
        <v>113</v>
      </c>
      <c r="AA50">
        <v>113.2</v>
      </c>
      <c r="AB50">
        <v>113.7</v>
      </c>
      <c r="AC50">
        <v>114.1</v>
      </c>
      <c r="AD50">
        <v>114.3</v>
      </c>
      <c r="AE50">
        <v>114.6</v>
      </c>
      <c r="AF50">
        <v>114.9</v>
      </c>
      <c r="AG50">
        <v>115.4</v>
      </c>
      <c r="AH50">
        <v>116</v>
      </c>
      <c r="AI50">
        <v>116.6</v>
      </c>
      <c r="AJ50">
        <v>117.1</v>
      </c>
      <c r="AK50">
        <v>117.7</v>
      </c>
      <c r="AL50">
        <v>118.1</v>
      </c>
      <c r="AM50">
        <v>118.6</v>
      </c>
      <c r="AN50">
        <v>119.1</v>
      </c>
      <c r="AO50">
        <v>119.5</v>
      </c>
      <c r="AP50">
        <v>119.7</v>
      </c>
      <c r="AQ50">
        <v>120</v>
      </c>
      <c r="AR50">
        <v>120.3</v>
      </c>
      <c r="AS50">
        <v>120.6</v>
      </c>
      <c r="AT50">
        <v>120.9</v>
      </c>
      <c r="AU50">
        <v>121.2</v>
      </c>
      <c r="AV50">
        <v>121.4</v>
      </c>
      <c r="AW50">
        <v>121.8</v>
      </c>
      <c r="AX50">
        <v>122.1</v>
      </c>
      <c r="AY50">
        <v>122.3</v>
      </c>
      <c r="AZ50">
        <v>122.6</v>
      </c>
      <c r="BA50">
        <v>122.9</v>
      </c>
      <c r="BB50">
        <v>123.1</v>
      </c>
      <c r="BC50">
        <v>123.4</v>
      </c>
      <c r="BD50">
        <v>123.6</v>
      </c>
      <c r="BE50">
        <v>123.8</v>
      </c>
      <c r="BF50">
        <v>125</v>
      </c>
      <c r="BG50">
        <v>125.7</v>
      </c>
      <c r="BH50">
        <v>126.1</v>
      </c>
      <c r="BI50">
        <v>126.6</v>
      </c>
      <c r="BJ50">
        <v>127.4</v>
      </c>
      <c r="BK50">
        <v>128.19999999999999</v>
      </c>
      <c r="BL50">
        <v>129</v>
      </c>
      <c r="BM50">
        <v>129.80000000000001</v>
      </c>
      <c r="BN50">
        <v>130.5</v>
      </c>
      <c r="BO50">
        <v>131.30000000000001</v>
      </c>
      <c r="BP50">
        <v>132</v>
      </c>
      <c r="BQ50">
        <v>132.6</v>
      </c>
      <c r="BR50">
        <v>133.6</v>
      </c>
      <c r="BS50">
        <v>134.9</v>
      </c>
      <c r="BT50">
        <v>135.69999999999999</v>
      </c>
      <c r="BU50">
        <v>136.19999999999999</v>
      </c>
      <c r="BV50">
        <v>136.80000000000001</v>
      </c>
      <c r="BW50">
        <v>137.30000000000001</v>
      </c>
      <c r="BX50">
        <v>137.80000000000001</v>
      </c>
      <c r="BY50">
        <v>138.5</v>
      </c>
      <c r="BZ50">
        <v>139.19999999999999</v>
      </c>
      <c r="CA50">
        <v>139.80000000000001</v>
      </c>
      <c r="CB50">
        <v>140.30000000000001</v>
      </c>
      <c r="CC50">
        <v>140.80000000000001</v>
      </c>
      <c r="CD50">
        <v>141.5</v>
      </c>
      <c r="CE50">
        <v>141.9</v>
      </c>
      <c r="CF50">
        <v>142.4</v>
      </c>
      <c r="CG50">
        <v>142.80000000000001</v>
      </c>
      <c r="CH50">
        <v>143.19999999999999</v>
      </c>
      <c r="CI50">
        <v>143.80000000000001</v>
      </c>
      <c r="CJ50">
        <v>144.4</v>
      </c>
      <c r="CK50">
        <v>145</v>
      </c>
      <c r="CL50">
        <v>144.80000000000001</v>
      </c>
      <c r="CM50" t="s">
        <v>43</v>
      </c>
      <c r="CN50">
        <v>148.1</v>
      </c>
      <c r="CO50">
        <v>148.1</v>
      </c>
      <c r="CP50">
        <v>148.69999999999999</v>
      </c>
      <c r="CQ50">
        <v>150</v>
      </c>
      <c r="CR50">
        <v>151</v>
      </c>
      <c r="CS50">
        <v>152</v>
      </c>
      <c r="CT50">
        <v>152.9</v>
      </c>
      <c r="CU50">
        <v>154.1</v>
      </c>
      <c r="CV50">
        <v>156.30000000000001</v>
      </c>
      <c r="CW50">
        <v>156.9</v>
      </c>
      <c r="CX50">
        <v>157.5</v>
      </c>
      <c r="CY50">
        <v>160.4</v>
      </c>
      <c r="CZ50">
        <v>160.80000000000001</v>
      </c>
      <c r="DA50">
        <v>161.5</v>
      </c>
      <c r="DB50">
        <v>162.80000000000001</v>
      </c>
      <c r="DC50">
        <v>162.80000000000001</v>
      </c>
      <c r="DD50">
        <v>163.5</v>
      </c>
      <c r="DE50">
        <v>164.2</v>
      </c>
      <c r="DF50">
        <v>165.1</v>
      </c>
      <c r="DG50">
        <v>166.1</v>
      </c>
      <c r="DH50">
        <v>167.2</v>
      </c>
      <c r="DI50">
        <v>168.2</v>
      </c>
      <c r="DJ50">
        <v>169</v>
      </c>
      <c r="DK50">
        <v>170.1</v>
      </c>
      <c r="DL50">
        <v>170.9</v>
      </c>
      <c r="DM50">
        <v>171.7</v>
      </c>
      <c r="DN50">
        <v>172.6</v>
      </c>
      <c r="DO50">
        <v>173.8</v>
      </c>
      <c r="DP50">
        <v>174.7</v>
      </c>
      <c r="DQ50">
        <v>175.8</v>
      </c>
      <c r="DR50">
        <v>177.2</v>
      </c>
      <c r="DS50">
        <v>178.5</v>
      </c>
      <c r="DT50">
        <v>180.8</v>
      </c>
      <c r="DU50">
        <v>180.8</v>
      </c>
      <c r="DV50">
        <v>181.5</v>
      </c>
      <c r="DW50">
        <v>182.2</v>
      </c>
    </row>
    <row r="51" spans="1:127" x14ac:dyDescent="0.3">
      <c r="A51" t="s">
        <v>36</v>
      </c>
      <c r="B51" t="str">
        <f>VLOOKUP(C51,'Broader Categories'!$A$1:$B$28,2,FALSE)</f>
        <v>Transport</v>
      </c>
      <c r="C51" t="s">
        <v>27</v>
      </c>
      <c r="D51">
        <v>103.2</v>
      </c>
      <c r="E51">
        <v>104.4</v>
      </c>
      <c r="F51">
        <v>105.5</v>
      </c>
      <c r="G51">
        <v>105</v>
      </c>
      <c r="H51">
        <v>103.9</v>
      </c>
      <c r="I51">
        <v>105.2</v>
      </c>
      <c r="J51">
        <v>107.3</v>
      </c>
      <c r="K51">
        <v>108.1</v>
      </c>
      <c r="L51">
        <v>110.4</v>
      </c>
      <c r="M51">
        <v>109.7</v>
      </c>
      <c r="N51">
        <v>109.5</v>
      </c>
      <c r="O51">
        <v>109.7</v>
      </c>
      <c r="P51">
        <v>110.8</v>
      </c>
      <c r="Q51">
        <v>111.3</v>
      </c>
      <c r="R51">
        <v>111.6</v>
      </c>
      <c r="S51">
        <v>111.2</v>
      </c>
      <c r="T51">
        <v>111.3</v>
      </c>
      <c r="U51">
        <v>111.5</v>
      </c>
      <c r="V51">
        <v>113</v>
      </c>
      <c r="W51">
        <v>112.5</v>
      </c>
      <c r="X51">
        <v>111.2</v>
      </c>
      <c r="Y51">
        <v>111</v>
      </c>
      <c r="Z51">
        <v>109.7</v>
      </c>
      <c r="AA51">
        <v>108.8</v>
      </c>
      <c r="AB51">
        <v>107.9</v>
      </c>
      <c r="AC51">
        <v>106.8</v>
      </c>
      <c r="AD51">
        <v>108.4</v>
      </c>
      <c r="AE51">
        <v>108.4</v>
      </c>
      <c r="AF51">
        <v>110.8</v>
      </c>
      <c r="AG51">
        <v>111.7</v>
      </c>
      <c r="AH51">
        <v>111.5</v>
      </c>
      <c r="AI51">
        <v>109.9</v>
      </c>
      <c r="AJ51">
        <v>109.1</v>
      </c>
      <c r="AK51">
        <v>109.3</v>
      </c>
      <c r="AL51">
        <v>109.3</v>
      </c>
      <c r="AM51">
        <v>109.3</v>
      </c>
      <c r="AN51">
        <v>108.9</v>
      </c>
      <c r="AO51">
        <v>109.1</v>
      </c>
      <c r="AP51">
        <v>108.5</v>
      </c>
      <c r="AQ51">
        <v>110</v>
      </c>
      <c r="AR51">
        <v>110.7</v>
      </c>
      <c r="AS51">
        <v>112.3</v>
      </c>
      <c r="AT51">
        <v>111.7</v>
      </c>
      <c r="AU51">
        <v>110.4</v>
      </c>
      <c r="AV51">
        <v>111.8</v>
      </c>
      <c r="AW51">
        <v>112.8</v>
      </c>
      <c r="AX51">
        <v>113.4</v>
      </c>
      <c r="AY51">
        <v>113.7</v>
      </c>
      <c r="AZ51">
        <v>115.2</v>
      </c>
      <c r="BA51">
        <v>115.5</v>
      </c>
      <c r="BB51">
        <v>115.6</v>
      </c>
      <c r="BC51">
        <v>114.3</v>
      </c>
      <c r="BD51">
        <v>114.3</v>
      </c>
      <c r="BE51">
        <v>113.9</v>
      </c>
      <c r="BF51">
        <v>113.2</v>
      </c>
      <c r="BG51">
        <v>114.6</v>
      </c>
      <c r="BH51">
        <v>115.7</v>
      </c>
      <c r="BI51">
        <v>115</v>
      </c>
      <c r="BJ51">
        <v>115.3</v>
      </c>
      <c r="BK51">
        <v>115.3</v>
      </c>
      <c r="BL51">
        <v>116.3</v>
      </c>
      <c r="BM51">
        <v>117.4</v>
      </c>
      <c r="BN51">
        <v>117.8</v>
      </c>
      <c r="BO51">
        <v>118.9</v>
      </c>
      <c r="BP51">
        <v>119.8</v>
      </c>
      <c r="BQ51">
        <v>120.4</v>
      </c>
      <c r="BR51">
        <v>120.1</v>
      </c>
      <c r="BS51">
        <v>120.7</v>
      </c>
      <c r="BT51">
        <v>122.5</v>
      </c>
      <c r="BU51">
        <v>123.3</v>
      </c>
      <c r="BV51">
        <v>121.2</v>
      </c>
      <c r="BW51">
        <v>118.8</v>
      </c>
      <c r="BX51">
        <v>118.6</v>
      </c>
      <c r="BY51">
        <v>119.2</v>
      </c>
      <c r="BZ51">
        <v>119.9</v>
      </c>
      <c r="CA51">
        <v>120.1</v>
      </c>
      <c r="CB51">
        <v>119.6</v>
      </c>
      <c r="CC51">
        <v>120.6</v>
      </c>
      <c r="CD51">
        <v>120.8</v>
      </c>
      <c r="CE51">
        <v>121.2</v>
      </c>
      <c r="CF51">
        <v>121.5</v>
      </c>
      <c r="CG51">
        <v>121.7</v>
      </c>
      <c r="CH51">
        <v>125.2</v>
      </c>
      <c r="CI51">
        <v>126.1</v>
      </c>
      <c r="CJ51">
        <v>125.2</v>
      </c>
      <c r="CK51">
        <v>124.6</v>
      </c>
      <c r="CL51" t="s">
        <v>43</v>
      </c>
      <c r="CM51" t="s">
        <v>43</v>
      </c>
      <c r="CN51">
        <v>129.30000000000001</v>
      </c>
      <c r="CO51">
        <v>129.30000000000001</v>
      </c>
      <c r="CP51">
        <v>133.9</v>
      </c>
      <c r="CQ51">
        <v>135.1</v>
      </c>
      <c r="CR51">
        <v>135.4</v>
      </c>
      <c r="CS51">
        <v>135.19999999999999</v>
      </c>
      <c r="CT51">
        <v>135.5</v>
      </c>
      <c r="CU51">
        <v>136.9</v>
      </c>
      <c r="CV51">
        <v>140.5</v>
      </c>
      <c r="CW51">
        <v>141.69999999999999</v>
      </c>
      <c r="CX51">
        <v>142.1</v>
      </c>
      <c r="CY51">
        <v>145</v>
      </c>
      <c r="CZ51">
        <v>147.5</v>
      </c>
      <c r="DA51">
        <v>149.5</v>
      </c>
      <c r="DB51">
        <v>150.4</v>
      </c>
      <c r="DC51">
        <v>150.5</v>
      </c>
      <c r="DD51">
        <v>152.19999999999999</v>
      </c>
      <c r="DE51">
        <v>151.19999999999999</v>
      </c>
      <c r="DF51">
        <v>151.80000000000001</v>
      </c>
      <c r="DG51">
        <v>152.69999999999999</v>
      </c>
      <c r="DH51">
        <v>153.1</v>
      </c>
      <c r="DI51">
        <v>154.19999999999999</v>
      </c>
      <c r="DJ51">
        <v>159.30000000000001</v>
      </c>
      <c r="DK51">
        <v>159.4</v>
      </c>
      <c r="DL51">
        <v>157.19999999999999</v>
      </c>
      <c r="DM51">
        <v>157.4</v>
      </c>
      <c r="DN51">
        <v>157.69999999999999</v>
      </c>
      <c r="DO51">
        <v>158.19999999999999</v>
      </c>
      <c r="DP51">
        <v>158.80000000000001</v>
      </c>
      <c r="DQ51">
        <v>158.9</v>
      </c>
      <c r="DR51">
        <v>159.4</v>
      </c>
      <c r="DS51">
        <v>159.5</v>
      </c>
      <c r="DT51">
        <v>159.80000000000001</v>
      </c>
      <c r="DU51">
        <v>159.80000000000001</v>
      </c>
      <c r="DV51">
        <v>160.1</v>
      </c>
      <c r="DW51">
        <v>160.4</v>
      </c>
    </row>
    <row r="52" spans="1:127" x14ac:dyDescent="0.3">
      <c r="A52" t="s">
        <v>36</v>
      </c>
      <c r="B52" t="str">
        <f>VLOOKUP(C52,'Broader Categories'!$A$1:$B$28,2,FALSE)</f>
        <v>Recreation</v>
      </c>
      <c r="C52" t="s">
        <v>28</v>
      </c>
      <c r="D52">
        <v>102.9</v>
      </c>
      <c r="E52">
        <v>103.3</v>
      </c>
      <c r="F52">
        <v>103.5</v>
      </c>
      <c r="G52">
        <v>104</v>
      </c>
      <c r="H52">
        <v>104.6</v>
      </c>
      <c r="I52">
        <v>105.2</v>
      </c>
      <c r="J52">
        <v>105.9</v>
      </c>
      <c r="K52">
        <v>106.5</v>
      </c>
      <c r="L52">
        <v>107.4</v>
      </c>
      <c r="M52">
        <v>108</v>
      </c>
      <c r="N52">
        <v>108.5</v>
      </c>
      <c r="O52">
        <v>108.9</v>
      </c>
      <c r="P52">
        <v>109.8</v>
      </c>
      <c r="Q52">
        <v>110.3</v>
      </c>
      <c r="R52">
        <v>110.9</v>
      </c>
      <c r="S52">
        <v>111.2</v>
      </c>
      <c r="T52">
        <v>111.5</v>
      </c>
      <c r="U52">
        <v>111.8</v>
      </c>
      <c r="V52">
        <v>112.4</v>
      </c>
      <c r="W52">
        <v>112.9</v>
      </c>
      <c r="X52">
        <v>113.4</v>
      </c>
      <c r="Y52">
        <v>113.6</v>
      </c>
      <c r="Z52">
        <v>114</v>
      </c>
      <c r="AA52">
        <v>114.3</v>
      </c>
      <c r="AB52">
        <v>114.6</v>
      </c>
      <c r="AC52">
        <v>114.9</v>
      </c>
      <c r="AD52">
        <v>115.4</v>
      </c>
      <c r="AE52">
        <v>115.6</v>
      </c>
      <c r="AF52">
        <v>116</v>
      </c>
      <c r="AG52">
        <v>116.2</v>
      </c>
      <c r="AH52">
        <v>116.6</v>
      </c>
      <c r="AI52">
        <v>117.2</v>
      </c>
      <c r="AJ52">
        <v>117.3</v>
      </c>
      <c r="AK52">
        <v>117.7</v>
      </c>
      <c r="AL52">
        <v>117.9</v>
      </c>
      <c r="AM52">
        <v>118.1</v>
      </c>
      <c r="AN52">
        <v>118.5</v>
      </c>
      <c r="AO52">
        <v>118.8</v>
      </c>
      <c r="AP52">
        <v>119.1</v>
      </c>
      <c r="AQ52">
        <v>119.5</v>
      </c>
      <c r="AR52">
        <v>119.8</v>
      </c>
      <c r="AS52">
        <v>119.9</v>
      </c>
      <c r="AT52">
        <v>120.3</v>
      </c>
      <c r="AU52">
        <v>120.6</v>
      </c>
      <c r="AV52">
        <v>120.8</v>
      </c>
      <c r="AW52">
        <v>121.2</v>
      </c>
      <c r="AX52">
        <v>121.7</v>
      </c>
      <c r="AY52">
        <v>121.8</v>
      </c>
      <c r="AZ52">
        <v>122</v>
      </c>
      <c r="BA52">
        <v>122.2</v>
      </c>
      <c r="BB52">
        <v>122.4</v>
      </c>
      <c r="BC52">
        <v>122.6</v>
      </c>
      <c r="BD52">
        <v>122.8</v>
      </c>
      <c r="BE52">
        <v>122.9</v>
      </c>
      <c r="BF52">
        <v>123.5</v>
      </c>
      <c r="BG52">
        <v>124.1</v>
      </c>
      <c r="BH52">
        <v>124.5</v>
      </c>
      <c r="BI52">
        <v>124.8</v>
      </c>
      <c r="BJ52">
        <v>125.1</v>
      </c>
      <c r="BK52">
        <v>125.6</v>
      </c>
      <c r="BL52">
        <v>126.2</v>
      </c>
      <c r="BM52">
        <v>126.5</v>
      </c>
      <c r="BN52">
        <v>126.8</v>
      </c>
      <c r="BO52">
        <v>127.6</v>
      </c>
      <c r="BP52">
        <v>128</v>
      </c>
      <c r="BQ52">
        <v>128.5</v>
      </c>
      <c r="BR52">
        <v>129</v>
      </c>
      <c r="BS52">
        <v>129.80000000000001</v>
      </c>
      <c r="BT52">
        <v>130.19999999999999</v>
      </c>
      <c r="BU52">
        <v>130.69999999999999</v>
      </c>
      <c r="BV52">
        <v>131.30000000000001</v>
      </c>
      <c r="BW52">
        <v>131.69999999999999</v>
      </c>
      <c r="BX52">
        <v>131.9</v>
      </c>
      <c r="BY52">
        <v>132.19999999999999</v>
      </c>
      <c r="BZ52">
        <v>133</v>
      </c>
      <c r="CA52">
        <v>134</v>
      </c>
      <c r="CB52">
        <v>134.30000000000001</v>
      </c>
      <c r="CC52">
        <v>135</v>
      </c>
      <c r="CD52">
        <v>135.4</v>
      </c>
      <c r="CE52">
        <v>135.9</v>
      </c>
      <c r="CF52">
        <v>136.19999999999999</v>
      </c>
      <c r="CG52">
        <v>136.69999999999999</v>
      </c>
      <c r="CH52">
        <v>136.80000000000001</v>
      </c>
      <c r="CI52">
        <v>137.19999999999999</v>
      </c>
      <c r="CJ52">
        <v>137.69999999999999</v>
      </c>
      <c r="CK52">
        <v>137.9</v>
      </c>
      <c r="CL52" t="s">
        <v>43</v>
      </c>
      <c r="CM52" t="s">
        <v>43</v>
      </c>
      <c r="CN52">
        <v>144.5</v>
      </c>
      <c r="CO52">
        <v>144.5</v>
      </c>
      <c r="CP52">
        <v>141.19999999999999</v>
      </c>
      <c r="CQ52">
        <v>141.80000000000001</v>
      </c>
      <c r="CR52">
        <v>142</v>
      </c>
      <c r="CS52">
        <v>144.4</v>
      </c>
      <c r="CT52">
        <v>144.30000000000001</v>
      </c>
      <c r="CU52">
        <v>145.4</v>
      </c>
      <c r="CV52">
        <v>147.30000000000001</v>
      </c>
      <c r="CW52">
        <v>148.6</v>
      </c>
      <c r="CX52">
        <v>149.1</v>
      </c>
      <c r="CY52">
        <v>152.6</v>
      </c>
      <c r="CZ52">
        <v>150.69999999999999</v>
      </c>
      <c r="DA52">
        <v>151.19999999999999</v>
      </c>
      <c r="DB52">
        <v>153.69999999999999</v>
      </c>
      <c r="DC52">
        <v>153.9</v>
      </c>
      <c r="DD52">
        <v>155.1</v>
      </c>
      <c r="DE52">
        <v>156.69999999999999</v>
      </c>
      <c r="DF52">
        <v>157.6</v>
      </c>
      <c r="DG52">
        <v>158.4</v>
      </c>
      <c r="DH52">
        <v>159.5</v>
      </c>
      <c r="DI52">
        <v>160.80000000000001</v>
      </c>
      <c r="DJ52">
        <v>162.19999999999999</v>
      </c>
      <c r="DK52">
        <v>163.19999999999999</v>
      </c>
      <c r="DL52">
        <v>164.1</v>
      </c>
      <c r="DM52">
        <v>164.6</v>
      </c>
      <c r="DN52">
        <v>165.1</v>
      </c>
      <c r="DO52">
        <v>165.8</v>
      </c>
      <c r="DP52">
        <v>166.3</v>
      </c>
      <c r="DQ52">
        <v>166.7</v>
      </c>
      <c r="DR52">
        <v>167.1</v>
      </c>
      <c r="DS52">
        <v>167.8</v>
      </c>
      <c r="DT52">
        <v>168.4</v>
      </c>
      <c r="DU52">
        <v>168.4</v>
      </c>
      <c r="DV52">
        <v>168.8</v>
      </c>
      <c r="DW52">
        <v>169.2</v>
      </c>
    </row>
    <row r="53" spans="1:127" x14ac:dyDescent="0.3">
      <c r="A53" t="s">
        <v>36</v>
      </c>
      <c r="B53" t="str">
        <f>VLOOKUP(C53,'Broader Categories'!$A$1:$B$28,2,FALSE)</f>
        <v>Education</v>
      </c>
      <c r="C53" t="s">
        <v>29</v>
      </c>
      <c r="D53">
        <v>103.5</v>
      </c>
      <c r="E53">
        <v>103.7</v>
      </c>
      <c r="F53">
        <v>103.8</v>
      </c>
      <c r="G53">
        <v>105.2</v>
      </c>
      <c r="H53">
        <v>105.7</v>
      </c>
      <c r="I53">
        <v>108.1</v>
      </c>
      <c r="J53">
        <v>110.1</v>
      </c>
      <c r="K53">
        <v>110.8</v>
      </c>
      <c r="L53">
        <v>111.2</v>
      </c>
      <c r="M53">
        <v>111.3</v>
      </c>
      <c r="N53">
        <v>111.3</v>
      </c>
      <c r="O53">
        <v>111.4</v>
      </c>
      <c r="P53">
        <v>111.5</v>
      </c>
      <c r="Q53">
        <v>111.6</v>
      </c>
      <c r="R53">
        <v>111.8</v>
      </c>
      <c r="S53">
        <v>112.5</v>
      </c>
      <c r="T53">
        <v>112.9</v>
      </c>
      <c r="U53">
        <v>115.1</v>
      </c>
      <c r="V53">
        <v>117.8</v>
      </c>
      <c r="W53">
        <v>119.2</v>
      </c>
      <c r="X53">
        <v>120</v>
      </c>
      <c r="Y53">
        <v>120.2</v>
      </c>
      <c r="Z53">
        <v>120.3</v>
      </c>
      <c r="AA53">
        <v>120.7</v>
      </c>
      <c r="AB53">
        <v>120.8</v>
      </c>
      <c r="AC53">
        <v>120.4</v>
      </c>
      <c r="AD53">
        <v>120.6</v>
      </c>
      <c r="AE53">
        <v>121.7</v>
      </c>
      <c r="AF53">
        <v>122</v>
      </c>
      <c r="AG53">
        <v>123.8</v>
      </c>
      <c r="AH53">
        <v>125.4</v>
      </c>
      <c r="AI53">
        <v>126.2</v>
      </c>
      <c r="AJ53">
        <v>126.5</v>
      </c>
      <c r="AK53">
        <v>126.5</v>
      </c>
      <c r="AL53">
        <v>126.6</v>
      </c>
      <c r="AM53">
        <v>126.6</v>
      </c>
      <c r="AN53">
        <v>126.4</v>
      </c>
      <c r="AO53">
        <v>126.3</v>
      </c>
      <c r="AP53">
        <v>126.4</v>
      </c>
      <c r="AQ53">
        <v>127.6</v>
      </c>
      <c r="AR53">
        <v>128</v>
      </c>
      <c r="AS53">
        <v>129.30000000000001</v>
      </c>
      <c r="AT53">
        <v>130.80000000000001</v>
      </c>
      <c r="AU53">
        <v>131.5</v>
      </c>
      <c r="AV53">
        <v>131.6</v>
      </c>
      <c r="AW53">
        <v>131.9</v>
      </c>
      <c r="AX53">
        <v>132.1</v>
      </c>
      <c r="AY53">
        <v>132.30000000000001</v>
      </c>
      <c r="AZ53">
        <v>132.4</v>
      </c>
      <c r="BA53">
        <v>132.4</v>
      </c>
      <c r="BB53">
        <v>132.80000000000001</v>
      </c>
      <c r="BC53">
        <v>133.6</v>
      </c>
      <c r="BD53">
        <v>133.80000000000001</v>
      </c>
      <c r="BE53">
        <v>134.30000000000001</v>
      </c>
      <c r="BF53">
        <v>135.5</v>
      </c>
      <c r="BG53">
        <v>135.69999999999999</v>
      </c>
      <c r="BH53">
        <v>135.9</v>
      </c>
      <c r="BI53">
        <v>136.30000000000001</v>
      </c>
      <c r="BJ53">
        <v>136.6</v>
      </c>
      <c r="BK53">
        <v>136.69999999999999</v>
      </c>
      <c r="BL53">
        <v>137.1</v>
      </c>
      <c r="BM53">
        <v>137.19999999999999</v>
      </c>
      <c r="BN53">
        <v>137.80000000000001</v>
      </c>
      <c r="BO53">
        <v>139.69999999999999</v>
      </c>
      <c r="BP53">
        <v>140.4</v>
      </c>
      <c r="BQ53">
        <v>141.19999999999999</v>
      </c>
      <c r="BR53">
        <v>144</v>
      </c>
      <c r="BS53">
        <v>145.30000000000001</v>
      </c>
      <c r="BT53">
        <v>145.19999999999999</v>
      </c>
      <c r="BU53">
        <v>145.5</v>
      </c>
      <c r="BV53">
        <v>146.1</v>
      </c>
      <c r="BW53">
        <v>146.5</v>
      </c>
      <c r="BX53">
        <v>146.6</v>
      </c>
      <c r="BY53">
        <v>146.6</v>
      </c>
      <c r="BZ53">
        <v>146.69999999999999</v>
      </c>
      <c r="CA53">
        <v>148</v>
      </c>
      <c r="CB53">
        <v>148.9</v>
      </c>
      <c r="CC53">
        <v>150.4</v>
      </c>
      <c r="CD53">
        <v>151.5</v>
      </c>
      <c r="CE53">
        <v>151.6</v>
      </c>
      <c r="CF53">
        <v>151.69999999999999</v>
      </c>
      <c r="CG53">
        <v>151.80000000000001</v>
      </c>
      <c r="CH53">
        <v>151.9</v>
      </c>
      <c r="CI53">
        <v>152.1</v>
      </c>
      <c r="CJ53">
        <v>152.19999999999999</v>
      </c>
      <c r="CK53">
        <v>152.5</v>
      </c>
      <c r="CL53" t="s">
        <v>43</v>
      </c>
      <c r="CM53" t="s">
        <v>43</v>
      </c>
      <c r="CN53">
        <v>152.5</v>
      </c>
      <c r="CO53">
        <v>152.5</v>
      </c>
      <c r="CP53">
        <v>155.5</v>
      </c>
      <c r="CQ53">
        <v>154.9</v>
      </c>
      <c r="CR53">
        <v>155.69999999999999</v>
      </c>
      <c r="CS53">
        <v>156.4</v>
      </c>
      <c r="CT53">
        <v>156.9</v>
      </c>
      <c r="CU53">
        <v>156.1</v>
      </c>
      <c r="CV53">
        <v>156.6</v>
      </c>
      <c r="CW53">
        <v>157.6</v>
      </c>
      <c r="CX53">
        <v>157.6</v>
      </c>
      <c r="CY53">
        <v>156.6</v>
      </c>
      <c r="CZ53">
        <v>158.1</v>
      </c>
      <c r="DA53">
        <v>160.30000000000001</v>
      </c>
      <c r="DB53">
        <v>160.4</v>
      </c>
      <c r="DC53">
        <v>160.30000000000001</v>
      </c>
      <c r="DD53">
        <v>160.30000000000001</v>
      </c>
      <c r="DE53">
        <v>160.80000000000001</v>
      </c>
      <c r="DF53">
        <v>160.6</v>
      </c>
      <c r="DG53">
        <v>161</v>
      </c>
      <c r="DH53">
        <v>162</v>
      </c>
      <c r="DI53">
        <v>162.69999999999999</v>
      </c>
      <c r="DJ53">
        <v>164</v>
      </c>
      <c r="DK53">
        <v>165.2</v>
      </c>
      <c r="DL53">
        <v>166.5</v>
      </c>
      <c r="DM53">
        <v>169.1</v>
      </c>
      <c r="DN53">
        <v>169.9</v>
      </c>
      <c r="DO53">
        <v>170.9</v>
      </c>
      <c r="DP53">
        <v>171.2</v>
      </c>
      <c r="DQ53">
        <v>171.5</v>
      </c>
      <c r="DR53">
        <v>171.8</v>
      </c>
      <c r="DS53">
        <v>171.8</v>
      </c>
      <c r="DT53">
        <v>172.5</v>
      </c>
      <c r="DU53">
        <v>172.5</v>
      </c>
      <c r="DV53">
        <v>174.2</v>
      </c>
      <c r="DW53">
        <v>174.8</v>
      </c>
    </row>
    <row r="54" spans="1:127" x14ac:dyDescent="0.3">
      <c r="A54" t="s">
        <v>36</v>
      </c>
      <c r="B54" t="str">
        <f>VLOOKUP(C54,'Broader Categories'!$A$1:$B$28,2,FALSE)</f>
        <v>Health</v>
      </c>
      <c r="C54" t="s">
        <v>30</v>
      </c>
      <c r="D54">
        <v>104.3</v>
      </c>
      <c r="E54">
        <v>104.3</v>
      </c>
      <c r="F54">
        <v>104.2</v>
      </c>
      <c r="G54">
        <v>103.2</v>
      </c>
      <c r="H54">
        <v>102.6</v>
      </c>
      <c r="I54">
        <v>103.3</v>
      </c>
      <c r="J54">
        <v>103.2</v>
      </c>
      <c r="K54">
        <v>106</v>
      </c>
      <c r="L54">
        <v>106.9</v>
      </c>
      <c r="M54">
        <v>107.3</v>
      </c>
      <c r="N54">
        <v>107.9</v>
      </c>
      <c r="O54">
        <v>107.7</v>
      </c>
      <c r="P54">
        <v>108</v>
      </c>
      <c r="Q54">
        <v>108.7</v>
      </c>
      <c r="R54">
        <v>109.2</v>
      </c>
      <c r="S54">
        <v>109.1</v>
      </c>
      <c r="T54">
        <v>109.3</v>
      </c>
      <c r="U54">
        <v>108.7</v>
      </c>
      <c r="V54">
        <v>109.7</v>
      </c>
      <c r="W54">
        <v>110.5</v>
      </c>
      <c r="X54">
        <v>110</v>
      </c>
      <c r="Y54">
        <v>110.1</v>
      </c>
      <c r="Z54">
        <v>109.6</v>
      </c>
      <c r="AA54">
        <v>110.4</v>
      </c>
      <c r="AB54">
        <v>111.4</v>
      </c>
      <c r="AC54">
        <v>111.7</v>
      </c>
      <c r="AD54">
        <v>111.3</v>
      </c>
      <c r="AE54">
        <v>111.8</v>
      </c>
      <c r="AF54">
        <v>112.4</v>
      </c>
      <c r="AG54">
        <v>112.5</v>
      </c>
      <c r="AH54">
        <v>111.7</v>
      </c>
      <c r="AI54">
        <v>112</v>
      </c>
      <c r="AJ54">
        <v>112.9</v>
      </c>
      <c r="AK54">
        <v>113.5</v>
      </c>
      <c r="AL54">
        <v>113.3</v>
      </c>
      <c r="AM54">
        <v>113.2</v>
      </c>
      <c r="AN54">
        <v>114</v>
      </c>
      <c r="AO54">
        <v>116.2</v>
      </c>
      <c r="AP54">
        <v>117.1</v>
      </c>
      <c r="AQ54">
        <v>117.6</v>
      </c>
      <c r="AR54">
        <v>118.5</v>
      </c>
      <c r="AS54">
        <v>118.8</v>
      </c>
      <c r="AT54">
        <v>120</v>
      </c>
      <c r="AU54">
        <v>120.9</v>
      </c>
      <c r="AV54">
        <v>121.2</v>
      </c>
      <c r="AW54">
        <v>120.8</v>
      </c>
      <c r="AX54">
        <v>121.3</v>
      </c>
      <c r="AY54">
        <v>119.9</v>
      </c>
      <c r="AZ54">
        <v>120.9</v>
      </c>
      <c r="BA54">
        <v>121.7</v>
      </c>
      <c r="BB54">
        <v>121.7</v>
      </c>
      <c r="BC54">
        <v>122.2</v>
      </c>
      <c r="BD54">
        <v>122</v>
      </c>
      <c r="BE54">
        <v>122.5</v>
      </c>
      <c r="BF54">
        <v>122.4</v>
      </c>
      <c r="BG54">
        <v>123.3</v>
      </c>
      <c r="BH54">
        <v>124.4</v>
      </c>
      <c r="BI54">
        <v>124.6</v>
      </c>
      <c r="BJ54">
        <v>124.9</v>
      </c>
      <c r="BK54">
        <v>124.6</v>
      </c>
      <c r="BL54">
        <v>125.5</v>
      </c>
      <c r="BM54">
        <v>126.2</v>
      </c>
      <c r="BN54">
        <v>126.7</v>
      </c>
      <c r="BO54">
        <v>127.6</v>
      </c>
      <c r="BP54">
        <v>128.1</v>
      </c>
      <c r="BQ54">
        <v>128.19999999999999</v>
      </c>
      <c r="BR54">
        <v>128.19999999999999</v>
      </c>
      <c r="BS54">
        <v>128.30000000000001</v>
      </c>
      <c r="BT54">
        <v>129.30000000000001</v>
      </c>
      <c r="BU54">
        <v>130.4</v>
      </c>
      <c r="BV54">
        <v>130.5</v>
      </c>
      <c r="BW54">
        <v>130.80000000000001</v>
      </c>
      <c r="BX54">
        <v>131.69999999999999</v>
      </c>
      <c r="BY54">
        <v>133</v>
      </c>
      <c r="BZ54">
        <v>132.5</v>
      </c>
      <c r="CA54">
        <v>132.6</v>
      </c>
      <c r="CB54">
        <v>133.69999999999999</v>
      </c>
      <c r="CC54">
        <v>135.1</v>
      </c>
      <c r="CD54">
        <v>137.80000000000001</v>
      </c>
      <c r="CE54">
        <v>139</v>
      </c>
      <c r="CF54">
        <v>139.5</v>
      </c>
      <c r="CG54">
        <v>139.80000000000001</v>
      </c>
      <c r="CH54">
        <v>140.19999999999999</v>
      </c>
      <c r="CI54">
        <v>142.1</v>
      </c>
      <c r="CJ54">
        <v>143.5</v>
      </c>
      <c r="CK54">
        <v>145.30000000000001</v>
      </c>
      <c r="CL54" t="s">
        <v>43</v>
      </c>
      <c r="CM54" t="s">
        <v>43</v>
      </c>
      <c r="CN54">
        <v>152.19999999999999</v>
      </c>
      <c r="CO54">
        <v>152.19999999999999</v>
      </c>
      <c r="CP54">
        <v>155.19999999999999</v>
      </c>
      <c r="CQ54">
        <v>159.80000000000001</v>
      </c>
      <c r="CR54">
        <v>158.1</v>
      </c>
      <c r="CS54">
        <v>157.9</v>
      </c>
      <c r="CT54">
        <v>157.9</v>
      </c>
      <c r="CU54">
        <v>157.69999999999999</v>
      </c>
      <c r="CV54">
        <v>156.69999999999999</v>
      </c>
      <c r="CW54">
        <v>154.9</v>
      </c>
      <c r="CX54">
        <v>156.6</v>
      </c>
      <c r="CY54">
        <v>157.5</v>
      </c>
      <c r="CZ54">
        <v>158</v>
      </c>
      <c r="DA54">
        <v>159.6</v>
      </c>
      <c r="DB54">
        <v>159.6</v>
      </c>
      <c r="DC54">
        <v>159.6</v>
      </c>
      <c r="DD54">
        <v>160.30000000000001</v>
      </c>
      <c r="DE54">
        <v>161.80000000000001</v>
      </c>
      <c r="DF54">
        <v>162.4</v>
      </c>
      <c r="DG54">
        <v>162.80000000000001</v>
      </c>
      <c r="DH54">
        <v>164.2</v>
      </c>
      <c r="DI54">
        <v>166.8</v>
      </c>
      <c r="DJ54">
        <v>168.4</v>
      </c>
      <c r="DK54">
        <v>168.2</v>
      </c>
      <c r="DL54">
        <v>169.2</v>
      </c>
      <c r="DM54">
        <v>169.8</v>
      </c>
      <c r="DN54">
        <v>171.4</v>
      </c>
      <c r="DO54">
        <v>171.1</v>
      </c>
      <c r="DP54">
        <v>172.3</v>
      </c>
      <c r="DQ54">
        <v>173.8</v>
      </c>
      <c r="DR54">
        <v>176</v>
      </c>
      <c r="DS54">
        <v>178.8</v>
      </c>
      <c r="DT54">
        <v>181.4</v>
      </c>
      <c r="DU54">
        <v>181.5</v>
      </c>
      <c r="DV54">
        <v>184.4</v>
      </c>
      <c r="DW54">
        <v>185.6</v>
      </c>
    </row>
    <row r="55" spans="1:127" x14ac:dyDescent="0.3">
      <c r="A55" t="s">
        <v>36</v>
      </c>
      <c r="B55" t="str">
        <f>VLOOKUP(C55,'Broader Categories'!$A$1:$B$28,2,FALSE)</f>
        <v>Misc</v>
      </c>
      <c r="C55" t="s">
        <v>31</v>
      </c>
      <c r="D55">
        <v>103.7</v>
      </c>
      <c r="E55">
        <v>104.3</v>
      </c>
      <c r="F55">
        <v>104.9</v>
      </c>
      <c r="G55">
        <v>105.1</v>
      </c>
      <c r="H55">
        <v>104.9</v>
      </c>
      <c r="I55">
        <v>106.1</v>
      </c>
      <c r="J55">
        <v>107.3</v>
      </c>
      <c r="K55">
        <v>108.3</v>
      </c>
      <c r="L55">
        <v>109.4</v>
      </c>
      <c r="M55">
        <v>109.4</v>
      </c>
      <c r="N55">
        <v>109.6</v>
      </c>
      <c r="O55">
        <v>109.8</v>
      </c>
      <c r="P55">
        <v>110.5</v>
      </c>
      <c r="Q55">
        <v>111</v>
      </c>
      <c r="R55">
        <v>111.4</v>
      </c>
      <c r="S55">
        <v>111.4</v>
      </c>
      <c r="T55">
        <v>111.7</v>
      </c>
      <c r="U55">
        <v>112.2</v>
      </c>
      <c r="V55">
        <v>113.5</v>
      </c>
      <c r="W55">
        <v>113.9</v>
      </c>
      <c r="X55">
        <v>113.6</v>
      </c>
      <c r="Y55">
        <v>113.7</v>
      </c>
      <c r="Z55">
        <v>113.4</v>
      </c>
      <c r="AA55">
        <v>113.4</v>
      </c>
      <c r="AB55">
        <v>113.4</v>
      </c>
      <c r="AC55">
        <v>113.2</v>
      </c>
      <c r="AD55">
        <v>113.8</v>
      </c>
      <c r="AE55">
        <v>114.2</v>
      </c>
      <c r="AF55">
        <v>115.2</v>
      </c>
      <c r="AG55">
        <v>116</v>
      </c>
      <c r="AH55">
        <v>116.3</v>
      </c>
      <c r="AI55">
        <v>116.2</v>
      </c>
      <c r="AJ55">
        <v>116.2</v>
      </c>
      <c r="AK55">
        <v>116.5</v>
      </c>
      <c r="AL55">
        <v>116.6</v>
      </c>
      <c r="AM55">
        <v>116.7</v>
      </c>
      <c r="AN55">
        <v>116.8</v>
      </c>
      <c r="AO55">
        <v>117.2</v>
      </c>
      <c r="AP55">
        <v>117.3</v>
      </c>
      <c r="AQ55">
        <v>118.2</v>
      </c>
      <c r="AR55">
        <v>118.7</v>
      </c>
      <c r="AS55">
        <v>119.6</v>
      </c>
      <c r="AT55">
        <v>119.9</v>
      </c>
      <c r="AU55">
        <v>119.9</v>
      </c>
      <c r="AV55">
        <v>120.5</v>
      </c>
      <c r="AW55">
        <v>120.9</v>
      </c>
      <c r="AX55">
        <v>121.3</v>
      </c>
      <c r="AY55">
        <v>121.4</v>
      </c>
      <c r="AZ55">
        <v>122.1</v>
      </c>
      <c r="BA55">
        <v>122.4</v>
      </c>
      <c r="BB55">
        <v>122.6</v>
      </c>
      <c r="BC55">
        <v>122.5</v>
      </c>
      <c r="BD55">
        <v>122.6</v>
      </c>
      <c r="BE55">
        <v>122.7</v>
      </c>
      <c r="BF55">
        <v>123</v>
      </c>
      <c r="BG55">
        <v>123.8</v>
      </c>
      <c r="BH55">
        <v>124.5</v>
      </c>
      <c r="BI55">
        <v>124.5</v>
      </c>
      <c r="BJ55">
        <v>124.9</v>
      </c>
      <c r="BK55">
        <v>125.1</v>
      </c>
      <c r="BL55">
        <v>125.8</v>
      </c>
      <c r="BM55">
        <v>126.5</v>
      </c>
      <c r="BN55">
        <v>127.1</v>
      </c>
      <c r="BO55">
        <v>128.19999999999999</v>
      </c>
      <c r="BP55">
        <v>128.9</v>
      </c>
      <c r="BQ55">
        <v>129.5</v>
      </c>
      <c r="BR55">
        <v>130.19999999999999</v>
      </c>
      <c r="BS55">
        <v>131</v>
      </c>
      <c r="BT55">
        <v>131.9</v>
      </c>
      <c r="BU55">
        <v>132.5</v>
      </c>
      <c r="BV55">
        <v>132.19999999999999</v>
      </c>
      <c r="BW55">
        <v>131.69999999999999</v>
      </c>
      <c r="BX55">
        <v>131.80000000000001</v>
      </c>
      <c r="BY55">
        <v>132.4</v>
      </c>
      <c r="BZ55">
        <v>132.80000000000001</v>
      </c>
      <c r="CA55">
        <v>133.30000000000001</v>
      </c>
      <c r="CB55">
        <v>133.6</v>
      </c>
      <c r="CC55">
        <v>134.5</v>
      </c>
      <c r="CD55">
        <v>135.30000000000001</v>
      </c>
      <c r="CE55">
        <v>135.69999999999999</v>
      </c>
      <c r="CF55">
        <v>136</v>
      </c>
      <c r="CG55">
        <v>136.30000000000001</v>
      </c>
      <c r="CH55">
        <v>137.69999999999999</v>
      </c>
      <c r="CI55">
        <v>138.4</v>
      </c>
      <c r="CJ55">
        <v>138.4</v>
      </c>
      <c r="CK55">
        <v>138.69999999999999</v>
      </c>
      <c r="CL55" t="s">
        <v>43</v>
      </c>
      <c r="CM55" t="s">
        <v>43</v>
      </c>
      <c r="CN55">
        <v>142</v>
      </c>
      <c r="CO55">
        <v>142</v>
      </c>
      <c r="CP55">
        <v>144.80000000000001</v>
      </c>
      <c r="CQ55">
        <v>146</v>
      </c>
      <c r="CR55">
        <v>146.19999999999999</v>
      </c>
      <c r="CS55">
        <v>146.6</v>
      </c>
      <c r="CT55">
        <v>146.9</v>
      </c>
      <c r="CU55">
        <v>147.6</v>
      </c>
      <c r="CV55">
        <v>149.30000000000001</v>
      </c>
      <c r="CW55">
        <v>150</v>
      </c>
      <c r="CX55">
        <v>150.5</v>
      </c>
      <c r="CY55">
        <v>152.30000000000001</v>
      </c>
      <c r="CZ55">
        <v>153.4</v>
      </c>
      <c r="DA55">
        <v>155</v>
      </c>
      <c r="DB55">
        <v>156</v>
      </c>
      <c r="DC55">
        <v>156</v>
      </c>
      <c r="DD55">
        <v>157</v>
      </c>
      <c r="DE55">
        <v>157.30000000000001</v>
      </c>
      <c r="DF55">
        <v>157.80000000000001</v>
      </c>
      <c r="DG55">
        <v>158.6</v>
      </c>
      <c r="DH55">
        <v>159.4</v>
      </c>
      <c r="DI55">
        <v>160.6</v>
      </c>
      <c r="DJ55">
        <v>163.1</v>
      </c>
      <c r="DK55">
        <v>163.80000000000001</v>
      </c>
      <c r="DL55">
        <v>163.80000000000001</v>
      </c>
      <c r="DM55">
        <v>164.7</v>
      </c>
      <c r="DN55">
        <v>165.4</v>
      </c>
      <c r="DO55">
        <v>166.1</v>
      </c>
      <c r="DP55">
        <v>166.8</v>
      </c>
      <c r="DQ55">
        <v>167.4</v>
      </c>
      <c r="DR55">
        <v>168.2</v>
      </c>
      <c r="DS55">
        <v>168.9</v>
      </c>
      <c r="DT55">
        <v>170</v>
      </c>
      <c r="DU55">
        <v>170</v>
      </c>
      <c r="DV55">
        <v>170.9</v>
      </c>
      <c r="DW55">
        <v>171.6</v>
      </c>
    </row>
    <row r="56" spans="1:127" x14ac:dyDescent="0.3">
      <c r="A56" t="s">
        <v>36</v>
      </c>
      <c r="B56" t="str">
        <f>VLOOKUP(C56,'Broader Categories'!$A$1:$B$28,2,FALSE)</f>
        <v>Does not come under any category</v>
      </c>
      <c r="C56" t="s">
        <v>32</v>
      </c>
      <c r="D56">
        <v>104</v>
      </c>
      <c r="E56">
        <v>104.7</v>
      </c>
      <c r="F56">
        <v>105</v>
      </c>
      <c r="G56">
        <v>105.7</v>
      </c>
      <c r="H56">
        <v>106.6</v>
      </c>
      <c r="I56">
        <v>109.7</v>
      </c>
      <c r="J56">
        <v>111.4</v>
      </c>
      <c r="K56">
        <v>112.7</v>
      </c>
      <c r="L56">
        <v>113.2</v>
      </c>
      <c r="M56">
        <v>114</v>
      </c>
      <c r="N56">
        <v>115</v>
      </c>
      <c r="O56">
        <v>113.3</v>
      </c>
      <c r="P56">
        <v>112.9</v>
      </c>
      <c r="Q56">
        <v>113.1</v>
      </c>
      <c r="R56">
        <v>113.7</v>
      </c>
      <c r="S56">
        <v>114.7</v>
      </c>
      <c r="T56">
        <v>115.6</v>
      </c>
      <c r="U56">
        <v>116.4</v>
      </c>
      <c r="V56">
        <v>118.9</v>
      </c>
      <c r="W56">
        <v>119.9</v>
      </c>
      <c r="X56">
        <v>119.2</v>
      </c>
      <c r="Y56">
        <v>119.1</v>
      </c>
      <c r="Z56">
        <v>119</v>
      </c>
      <c r="AA56">
        <v>118.4</v>
      </c>
      <c r="AB56">
        <v>118.5</v>
      </c>
      <c r="AC56">
        <v>118.7</v>
      </c>
      <c r="AD56">
        <v>119.1</v>
      </c>
      <c r="AE56">
        <v>119.7</v>
      </c>
      <c r="AF56">
        <v>120.7</v>
      </c>
      <c r="AG56">
        <v>121.7</v>
      </c>
      <c r="AH56">
        <v>122.4</v>
      </c>
      <c r="AI56">
        <v>123.2</v>
      </c>
      <c r="AJ56">
        <v>123.5</v>
      </c>
      <c r="AK56">
        <v>124.2</v>
      </c>
      <c r="AL56">
        <v>124.6</v>
      </c>
      <c r="AM56">
        <v>124</v>
      </c>
      <c r="AN56">
        <v>124.2</v>
      </c>
      <c r="AO56">
        <v>123.8</v>
      </c>
      <c r="AP56">
        <v>123.8</v>
      </c>
      <c r="AQ56">
        <v>125.3</v>
      </c>
      <c r="AR56">
        <v>126.6</v>
      </c>
      <c r="AS56">
        <v>128.1</v>
      </c>
      <c r="AT56">
        <v>129</v>
      </c>
      <c r="AU56">
        <v>128.4</v>
      </c>
      <c r="AV56">
        <v>128</v>
      </c>
      <c r="AW56">
        <v>128.6</v>
      </c>
      <c r="AX56">
        <v>128.5</v>
      </c>
      <c r="AY56">
        <v>127.6</v>
      </c>
      <c r="AZ56">
        <v>127.8</v>
      </c>
      <c r="BA56">
        <v>128.19999999999999</v>
      </c>
      <c r="BB56">
        <v>128.69999999999999</v>
      </c>
      <c r="BC56">
        <v>129.1</v>
      </c>
      <c r="BD56">
        <v>129.30000000000001</v>
      </c>
      <c r="BE56">
        <v>129.9</v>
      </c>
      <c r="BF56">
        <v>131.80000000000001</v>
      </c>
      <c r="BG56">
        <v>132.69999999999999</v>
      </c>
      <c r="BH56">
        <v>132.4</v>
      </c>
      <c r="BI56">
        <v>133.5</v>
      </c>
      <c r="BJ56">
        <v>134.80000000000001</v>
      </c>
      <c r="BK56">
        <v>134.1</v>
      </c>
      <c r="BL56">
        <v>134.1</v>
      </c>
      <c r="BM56">
        <v>134</v>
      </c>
      <c r="BN56">
        <v>134</v>
      </c>
      <c r="BO56">
        <v>134.80000000000001</v>
      </c>
      <c r="BP56">
        <v>135.4</v>
      </c>
      <c r="BQ56">
        <v>136.19999999999999</v>
      </c>
      <c r="BR56">
        <v>137.5</v>
      </c>
      <c r="BS56">
        <v>138</v>
      </c>
      <c r="BT56">
        <v>138.1</v>
      </c>
      <c r="BU56">
        <v>138.9</v>
      </c>
      <c r="BV56">
        <v>139</v>
      </c>
      <c r="BW56">
        <v>138</v>
      </c>
      <c r="BX56">
        <v>138</v>
      </c>
      <c r="BY56">
        <v>138.6</v>
      </c>
      <c r="BZ56">
        <v>139.5</v>
      </c>
      <c r="CA56">
        <v>141.5</v>
      </c>
      <c r="CB56">
        <v>142.1</v>
      </c>
      <c r="CC56">
        <v>143.30000000000001</v>
      </c>
      <c r="CD56">
        <v>144.19999999999999</v>
      </c>
      <c r="CE56">
        <v>144.69999999999999</v>
      </c>
      <c r="CF56">
        <v>146</v>
      </c>
      <c r="CG56">
        <v>147</v>
      </c>
      <c r="CH56">
        <v>148.30000000000001</v>
      </c>
      <c r="CI56">
        <v>148.19999999999999</v>
      </c>
      <c r="CJ56">
        <v>147.69999999999999</v>
      </c>
      <c r="CK56">
        <v>147.30000000000001</v>
      </c>
      <c r="CL56" t="s">
        <v>43</v>
      </c>
      <c r="CM56" t="s">
        <v>43</v>
      </c>
      <c r="CN56">
        <v>150.80000000000001</v>
      </c>
      <c r="CO56">
        <v>150.80000000000001</v>
      </c>
      <c r="CP56">
        <v>152.9</v>
      </c>
      <c r="CQ56">
        <v>154</v>
      </c>
      <c r="CR56">
        <v>155.19999999999999</v>
      </c>
      <c r="CS56">
        <v>156.69999999999999</v>
      </c>
      <c r="CT56">
        <v>156.9</v>
      </c>
      <c r="CU56">
        <v>156</v>
      </c>
      <c r="CV56">
        <v>156.5</v>
      </c>
      <c r="CW56">
        <v>156.9</v>
      </c>
      <c r="CX56">
        <v>158</v>
      </c>
      <c r="CY56">
        <v>159.5</v>
      </c>
      <c r="CZ56">
        <v>160.4</v>
      </c>
      <c r="DA56">
        <v>161.80000000000001</v>
      </c>
      <c r="DB56">
        <v>162.30000000000001</v>
      </c>
      <c r="DC56">
        <v>162.30000000000001</v>
      </c>
      <c r="DD56">
        <v>164.6</v>
      </c>
      <c r="DE56">
        <v>165.6</v>
      </c>
      <c r="DF56">
        <v>165.2</v>
      </c>
      <c r="DG56">
        <v>165</v>
      </c>
      <c r="DH56">
        <v>165.5</v>
      </c>
      <c r="DI56">
        <v>166.5</v>
      </c>
      <c r="DJ56">
        <v>169.2</v>
      </c>
      <c r="DK56">
        <v>170.8</v>
      </c>
      <c r="DL56">
        <v>171.4</v>
      </c>
      <c r="DM56">
        <v>172.3</v>
      </c>
      <c r="DN56">
        <v>173.1</v>
      </c>
      <c r="DO56">
        <v>174.1</v>
      </c>
      <c r="DP56">
        <v>175.3</v>
      </c>
      <c r="DQ56">
        <v>174.1</v>
      </c>
      <c r="DR56">
        <v>174.1</v>
      </c>
      <c r="DS56">
        <v>174.9</v>
      </c>
      <c r="DT56">
        <v>176.3</v>
      </c>
      <c r="DU56">
        <v>176.3</v>
      </c>
      <c r="DV56">
        <v>177.4</v>
      </c>
      <c r="DW56">
        <v>178.2</v>
      </c>
    </row>
    <row r="57" spans="1:127" x14ac:dyDescent="0.3">
      <c r="A57" t="s">
        <v>37</v>
      </c>
      <c r="B57" t="str">
        <f>VLOOKUP(C57,'Broader Categories'!$A$1:$B$28,2,FALSE)</f>
        <v>Food</v>
      </c>
      <c r="C57" t="s">
        <v>3</v>
      </c>
      <c r="D57">
        <v>108.4</v>
      </c>
      <c r="E57">
        <v>110.4</v>
      </c>
      <c r="F57">
        <v>111.4</v>
      </c>
      <c r="G57">
        <v>111.6</v>
      </c>
      <c r="H57">
        <v>112.3</v>
      </c>
      <c r="I57">
        <v>113.8</v>
      </c>
      <c r="J57">
        <v>114.8</v>
      </c>
      <c r="K57">
        <v>115.6</v>
      </c>
      <c r="L57">
        <v>116.4</v>
      </c>
      <c r="M57">
        <v>117.1</v>
      </c>
      <c r="N57">
        <v>118.1</v>
      </c>
      <c r="O57">
        <v>119.1</v>
      </c>
      <c r="P57">
        <v>119.6</v>
      </c>
      <c r="Q57">
        <v>120.2</v>
      </c>
      <c r="R57">
        <v>120.7</v>
      </c>
      <c r="S57">
        <v>120.9</v>
      </c>
      <c r="T57">
        <v>121.1</v>
      </c>
      <c r="U57">
        <v>121.5</v>
      </c>
      <c r="V57">
        <v>122.4</v>
      </c>
      <c r="W57">
        <v>122.7</v>
      </c>
      <c r="X57">
        <v>122.9</v>
      </c>
      <c r="Y57">
        <v>123.2</v>
      </c>
      <c r="Z57">
        <v>123.3</v>
      </c>
      <c r="AA57">
        <v>122.9</v>
      </c>
      <c r="AB57">
        <v>123.4</v>
      </c>
      <c r="AC57">
        <v>123.7</v>
      </c>
      <c r="AD57">
        <v>123.5</v>
      </c>
      <c r="AE57">
        <v>123.5</v>
      </c>
      <c r="AF57">
        <v>123.6</v>
      </c>
      <c r="AG57">
        <v>123.9</v>
      </c>
      <c r="AH57">
        <v>123.7</v>
      </c>
      <c r="AI57">
        <v>124.2</v>
      </c>
      <c r="AJ57">
        <v>124.6</v>
      </c>
      <c r="AK57">
        <v>125</v>
      </c>
      <c r="AL57">
        <v>125.4</v>
      </c>
      <c r="AM57">
        <v>125.7</v>
      </c>
      <c r="AN57">
        <v>126.1</v>
      </c>
      <c r="AO57">
        <v>126.4</v>
      </c>
      <c r="AP57">
        <v>126.5</v>
      </c>
      <c r="AQ57">
        <v>126.6</v>
      </c>
      <c r="AR57">
        <v>126.8</v>
      </c>
      <c r="AS57">
        <v>127.7</v>
      </c>
      <c r="AT57">
        <v>128.5</v>
      </c>
      <c r="AU57">
        <v>129.30000000000001</v>
      </c>
      <c r="AV57">
        <v>129.9</v>
      </c>
      <c r="AW57">
        <v>130.5</v>
      </c>
      <c r="AX57">
        <v>131.4</v>
      </c>
      <c r="AY57">
        <v>132.30000000000001</v>
      </c>
      <c r="AZ57">
        <v>132.80000000000001</v>
      </c>
      <c r="BA57">
        <v>133.1</v>
      </c>
      <c r="BB57">
        <v>133.30000000000001</v>
      </c>
      <c r="BC57">
        <v>133</v>
      </c>
      <c r="BD57">
        <v>132.9</v>
      </c>
      <c r="BE57">
        <v>133.30000000000001</v>
      </c>
      <c r="BF57">
        <v>133.6</v>
      </c>
      <c r="BG57">
        <v>134.30000000000001</v>
      </c>
      <c r="BH57">
        <v>134.69999999999999</v>
      </c>
      <c r="BI57">
        <v>135.30000000000001</v>
      </c>
      <c r="BJ57">
        <v>135.69999999999999</v>
      </c>
      <c r="BK57">
        <v>135.80000000000001</v>
      </c>
      <c r="BL57">
        <v>136</v>
      </c>
      <c r="BM57">
        <v>135.9</v>
      </c>
      <c r="BN57">
        <v>136.19999999999999</v>
      </c>
      <c r="BO57">
        <v>136.4</v>
      </c>
      <c r="BP57">
        <v>136.6</v>
      </c>
      <c r="BQ57">
        <v>136.9</v>
      </c>
      <c r="BR57">
        <v>137.5</v>
      </c>
      <c r="BS57">
        <v>138.30000000000001</v>
      </c>
      <c r="BT57">
        <v>138.6</v>
      </c>
      <c r="BU57">
        <v>137.4</v>
      </c>
      <c r="BV57">
        <v>137.4</v>
      </c>
      <c r="BW57">
        <v>137.5</v>
      </c>
      <c r="BX57">
        <v>137.1</v>
      </c>
      <c r="BY57">
        <v>137.6</v>
      </c>
      <c r="BZ57">
        <v>137.80000000000001</v>
      </c>
      <c r="CA57">
        <v>138.30000000000001</v>
      </c>
      <c r="CB57">
        <v>138.69999999999999</v>
      </c>
      <c r="CC57">
        <v>139.30000000000001</v>
      </c>
      <c r="CD57">
        <v>140.1</v>
      </c>
      <c r="CE57">
        <v>140.9</v>
      </c>
      <c r="CF57">
        <v>141.80000000000001</v>
      </c>
      <c r="CG57">
        <v>142.5</v>
      </c>
      <c r="CH57">
        <v>143.5</v>
      </c>
      <c r="CI57">
        <v>144.30000000000001</v>
      </c>
      <c r="CJ57">
        <v>144.80000000000001</v>
      </c>
      <c r="CK57">
        <v>145.1</v>
      </c>
      <c r="CL57">
        <v>148.69999999999999</v>
      </c>
      <c r="CM57" t="s">
        <v>43</v>
      </c>
      <c r="CN57">
        <v>149.6</v>
      </c>
      <c r="CO57">
        <v>149.6</v>
      </c>
      <c r="CP57">
        <v>148.9</v>
      </c>
      <c r="CQ57">
        <v>148.4</v>
      </c>
      <c r="CR57">
        <v>147.5</v>
      </c>
      <c r="CS57">
        <v>146.80000000000001</v>
      </c>
      <c r="CT57">
        <v>146</v>
      </c>
      <c r="CU57">
        <v>144.9</v>
      </c>
      <c r="CV57">
        <v>144.30000000000001</v>
      </c>
      <c r="CW57">
        <v>144.1</v>
      </c>
      <c r="CX57">
        <v>144.30000000000001</v>
      </c>
      <c r="CY57">
        <v>146.30000000000001</v>
      </c>
      <c r="CZ57">
        <v>146.69999999999999</v>
      </c>
      <c r="DA57">
        <v>146.4</v>
      </c>
      <c r="DB57">
        <v>146.6</v>
      </c>
      <c r="DC57">
        <v>146.6</v>
      </c>
      <c r="DD57">
        <v>147.4</v>
      </c>
      <c r="DE57">
        <v>148.19999999999999</v>
      </c>
      <c r="DF57">
        <v>148.69999999999999</v>
      </c>
      <c r="DG57">
        <v>149.5</v>
      </c>
      <c r="DH57">
        <v>150</v>
      </c>
      <c r="DI57">
        <v>151.30000000000001</v>
      </c>
      <c r="DJ57">
        <v>152.9</v>
      </c>
      <c r="DK57">
        <v>154.1</v>
      </c>
      <c r="DL57">
        <v>155</v>
      </c>
      <c r="DM57">
        <v>156.5</v>
      </c>
      <c r="DN57">
        <v>160.30000000000001</v>
      </c>
      <c r="DO57">
        <v>163.5</v>
      </c>
      <c r="DP57">
        <v>165.2</v>
      </c>
      <c r="DQ57">
        <v>167.4</v>
      </c>
      <c r="DR57">
        <v>169.2</v>
      </c>
      <c r="DS57">
        <v>173.8</v>
      </c>
      <c r="DT57">
        <v>174.4</v>
      </c>
      <c r="DU57">
        <v>174.4</v>
      </c>
      <c r="DV57">
        <v>173.8</v>
      </c>
      <c r="DW57">
        <v>173.7</v>
      </c>
    </row>
    <row r="58" spans="1:127" x14ac:dyDescent="0.3">
      <c r="A58" t="s">
        <v>37</v>
      </c>
      <c r="B58" t="str">
        <f>VLOOKUP(C58,'Broader Categories'!$A$1:$B$28,2,FALSE)</f>
        <v>Food</v>
      </c>
      <c r="C58" t="s">
        <v>4</v>
      </c>
      <c r="D58">
        <v>107.3</v>
      </c>
      <c r="E58">
        <v>110.2</v>
      </c>
      <c r="F58">
        <v>109.7</v>
      </c>
      <c r="G58">
        <v>110.9</v>
      </c>
      <c r="H58">
        <v>111.3</v>
      </c>
      <c r="I58">
        <v>114.9</v>
      </c>
      <c r="J58">
        <v>116.4</v>
      </c>
      <c r="K58">
        <v>117.2</v>
      </c>
      <c r="L58">
        <v>116.9</v>
      </c>
      <c r="M58">
        <v>116.3</v>
      </c>
      <c r="N58">
        <v>115.4</v>
      </c>
      <c r="O58">
        <v>116.7</v>
      </c>
      <c r="P58">
        <v>118.8</v>
      </c>
      <c r="Q58">
        <v>119.2</v>
      </c>
      <c r="R58">
        <v>119.3</v>
      </c>
      <c r="S58">
        <v>119.9</v>
      </c>
      <c r="T58">
        <v>121.6</v>
      </c>
      <c r="U58">
        <v>123.1</v>
      </c>
      <c r="V58">
        <v>123.9</v>
      </c>
      <c r="W58">
        <v>124.4</v>
      </c>
      <c r="X58">
        <v>123.5</v>
      </c>
      <c r="Y58">
        <v>123.8</v>
      </c>
      <c r="Z58">
        <v>123.7</v>
      </c>
      <c r="AA58">
        <v>123.2</v>
      </c>
      <c r="AB58">
        <v>123.9</v>
      </c>
      <c r="AC58">
        <v>125.1</v>
      </c>
      <c r="AD58">
        <v>125.4</v>
      </c>
      <c r="AE58">
        <v>126.4</v>
      </c>
      <c r="AF58">
        <v>128</v>
      </c>
      <c r="AG58">
        <v>131.80000000000001</v>
      </c>
      <c r="AH58">
        <v>132.5</v>
      </c>
      <c r="AI58">
        <v>131.4</v>
      </c>
      <c r="AJ58">
        <v>130.4</v>
      </c>
      <c r="AK58">
        <v>129.80000000000001</v>
      </c>
      <c r="AL58">
        <v>130.30000000000001</v>
      </c>
      <c r="AM58">
        <v>131.4</v>
      </c>
      <c r="AN58">
        <v>134.1</v>
      </c>
      <c r="AO58">
        <v>134.19999999999999</v>
      </c>
      <c r="AP58">
        <v>135.1</v>
      </c>
      <c r="AQ58">
        <v>136.80000000000001</v>
      </c>
      <c r="AR58">
        <v>139.1</v>
      </c>
      <c r="AS58">
        <v>140.5</v>
      </c>
      <c r="AT58">
        <v>141.19999999999999</v>
      </c>
      <c r="AU58">
        <v>139.30000000000001</v>
      </c>
      <c r="AV58">
        <v>138</v>
      </c>
      <c r="AW58">
        <v>137.9</v>
      </c>
      <c r="AX58">
        <v>137.80000000000001</v>
      </c>
      <c r="AY58">
        <v>137.6</v>
      </c>
      <c r="AZ58">
        <v>138.19999999999999</v>
      </c>
      <c r="BA58">
        <v>138.80000000000001</v>
      </c>
      <c r="BB58">
        <v>139</v>
      </c>
      <c r="BC58">
        <v>139.4</v>
      </c>
      <c r="BD58">
        <v>141.6</v>
      </c>
      <c r="BE58">
        <v>145.5</v>
      </c>
      <c r="BF58">
        <v>145.69999999999999</v>
      </c>
      <c r="BG58">
        <v>143.4</v>
      </c>
      <c r="BH58">
        <v>142.4</v>
      </c>
      <c r="BI58">
        <v>142.19999999999999</v>
      </c>
      <c r="BJ58">
        <v>142.4</v>
      </c>
      <c r="BK58">
        <v>143.30000000000001</v>
      </c>
      <c r="BL58">
        <v>144.19999999999999</v>
      </c>
      <c r="BM58">
        <v>143.5</v>
      </c>
      <c r="BN58">
        <v>143.6</v>
      </c>
      <c r="BO58">
        <v>144.4</v>
      </c>
      <c r="BP58">
        <v>146.6</v>
      </c>
      <c r="BQ58">
        <v>148.69999999999999</v>
      </c>
      <c r="BR58">
        <v>149.1</v>
      </c>
      <c r="BS58">
        <v>148</v>
      </c>
      <c r="BT58">
        <v>145.80000000000001</v>
      </c>
      <c r="BU58">
        <v>149.5</v>
      </c>
      <c r="BV58">
        <v>149.19999999999999</v>
      </c>
      <c r="BW58">
        <v>150.5</v>
      </c>
      <c r="BX58">
        <v>151.4</v>
      </c>
      <c r="BY58">
        <v>152</v>
      </c>
      <c r="BZ58">
        <v>153</v>
      </c>
      <c r="CA58">
        <v>158.5</v>
      </c>
      <c r="CB58">
        <v>162.1</v>
      </c>
      <c r="CC58">
        <v>162.69999999999999</v>
      </c>
      <c r="CD58">
        <v>160.6</v>
      </c>
      <c r="CE58">
        <v>160.80000000000001</v>
      </c>
      <c r="CF58">
        <v>161</v>
      </c>
      <c r="CG58">
        <v>163.19999999999999</v>
      </c>
      <c r="CH58">
        <v>165</v>
      </c>
      <c r="CI58">
        <v>167.4</v>
      </c>
      <c r="CJ58">
        <v>167.5</v>
      </c>
      <c r="CK58">
        <v>167</v>
      </c>
      <c r="CL58" t="s">
        <v>43</v>
      </c>
      <c r="CM58" t="s">
        <v>43</v>
      </c>
      <c r="CN58">
        <v>192.7</v>
      </c>
      <c r="CO58">
        <v>192.7</v>
      </c>
      <c r="CP58">
        <v>190.9</v>
      </c>
      <c r="CQ58">
        <v>187.1</v>
      </c>
      <c r="CR58">
        <v>188.9</v>
      </c>
      <c r="CS58">
        <v>191</v>
      </c>
      <c r="CT58">
        <v>191</v>
      </c>
      <c r="CU58">
        <v>190.1</v>
      </c>
      <c r="CV58">
        <v>186.5</v>
      </c>
      <c r="CW58">
        <v>192.2</v>
      </c>
      <c r="CX58">
        <v>198</v>
      </c>
      <c r="CY58">
        <v>200.5</v>
      </c>
      <c r="CZ58">
        <v>202</v>
      </c>
      <c r="DA58">
        <v>206.8</v>
      </c>
      <c r="DB58">
        <v>204</v>
      </c>
      <c r="DC58">
        <v>204</v>
      </c>
      <c r="DD58">
        <v>204.6</v>
      </c>
      <c r="DE58">
        <v>201.6</v>
      </c>
      <c r="DF58">
        <v>198.8</v>
      </c>
      <c r="DG58">
        <v>198.7</v>
      </c>
      <c r="DH58">
        <v>200.6</v>
      </c>
      <c r="DI58">
        <v>210.7</v>
      </c>
      <c r="DJ58">
        <v>211.8</v>
      </c>
      <c r="DK58">
        <v>217</v>
      </c>
      <c r="DL58">
        <v>219.4</v>
      </c>
      <c r="DM58">
        <v>213</v>
      </c>
      <c r="DN58">
        <v>206.5</v>
      </c>
      <c r="DO58">
        <v>209.2</v>
      </c>
      <c r="DP58">
        <v>210.9</v>
      </c>
      <c r="DQ58">
        <v>209.4</v>
      </c>
      <c r="DR58">
        <v>209</v>
      </c>
      <c r="DS58">
        <v>210.7</v>
      </c>
      <c r="DT58">
        <v>207.7</v>
      </c>
      <c r="DU58">
        <v>207.7</v>
      </c>
      <c r="DV58">
        <v>209.3</v>
      </c>
      <c r="DW58">
        <v>214.3</v>
      </c>
    </row>
    <row r="59" spans="1:127" x14ac:dyDescent="0.3">
      <c r="A59" t="s">
        <v>37</v>
      </c>
      <c r="B59" t="str">
        <f>VLOOKUP(C59,'Broader Categories'!$A$1:$B$28,2,FALSE)</f>
        <v>Food</v>
      </c>
      <c r="C59" t="s">
        <v>5</v>
      </c>
      <c r="D59">
        <v>110</v>
      </c>
      <c r="E59">
        <v>112.8</v>
      </c>
      <c r="F59">
        <v>111.2</v>
      </c>
      <c r="G59">
        <v>106.6</v>
      </c>
      <c r="H59">
        <v>104.7</v>
      </c>
      <c r="I59">
        <v>109.8</v>
      </c>
      <c r="J59">
        <v>111.9</v>
      </c>
      <c r="K59">
        <v>111.7</v>
      </c>
      <c r="L59">
        <v>112.3</v>
      </c>
      <c r="M59">
        <v>113.3</v>
      </c>
      <c r="N59">
        <v>118.7</v>
      </c>
      <c r="O59">
        <v>123.5</v>
      </c>
      <c r="P59">
        <v>124.1</v>
      </c>
      <c r="Q59">
        <v>122.5</v>
      </c>
      <c r="R59">
        <v>121</v>
      </c>
      <c r="S59">
        <v>116.2</v>
      </c>
      <c r="T59">
        <v>115.9</v>
      </c>
      <c r="U59">
        <v>115.8</v>
      </c>
      <c r="V59">
        <v>117.8</v>
      </c>
      <c r="W59">
        <v>117.3</v>
      </c>
      <c r="X59">
        <v>117.3</v>
      </c>
      <c r="Y59">
        <v>118.1</v>
      </c>
      <c r="Z59">
        <v>121</v>
      </c>
      <c r="AA59">
        <v>123.5</v>
      </c>
      <c r="AB59">
        <v>123.8</v>
      </c>
      <c r="AC59">
        <v>121.1</v>
      </c>
      <c r="AD59">
        <v>116.8</v>
      </c>
      <c r="AE59">
        <v>114.4</v>
      </c>
      <c r="AF59">
        <v>115</v>
      </c>
      <c r="AG59">
        <v>121.6</v>
      </c>
      <c r="AH59">
        <v>121</v>
      </c>
      <c r="AI59">
        <v>120.1</v>
      </c>
      <c r="AJ59">
        <v>118.7</v>
      </c>
      <c r="AK59">
        <v>118.9</v>
      </c>
      <c r="AL59">
        <v>121.6</v>
      </c>
      <c r="AM59">
        <v>124.8</v>
      </c>
      <c r="AN59">
        <v>128.6</v>
      </c>
      <c r="AO59">
        <v>128.69999999999999</v>
      </c>
      <c r="AP59">
        <v>124.6</v>
      </c>
      <c r="AQ59">
        <v>122</v>
      </c>
      <c r="AR59">
        <v>125.4</v>
      </c>
      <c r="AS59">
        <v>128.30000000000001</v>
      </c>
      <c r="AT59">
        <v>132.30000000000001</v>
      </c>
      <c r="AU59">
        <v>131.6</v>
      </c>
      <c r="AV59">
        <v>130.5</v>
      </c>
      <c r="AW59">
        <v>130.19999999999999</v>
      </c>
      <c r="AX59">
        <v>132</v>
      </c>
      <c r="AY59">
        <v>132.9</v>
      </c>
      <c r="AZ59">
        <v>132.19999999999999</v>
      </c>
      <c r="BA59">
        <v>129.30000000000001</v>
      </c>
      <c r="BB59">
        <v>128.6</v>
      </c>
      <c r="BC59">
        <v>126.1</v>
      </c>
      <c r="BD59">
        <v>126.3</v>
      </c>
      <c r="BE59">
        <v>128.1</v>
      </c>
      <c r="BF59">
        <v>129.6</v>
      </c>
      <c r="BG59">
        <v>129.30000000000001</v>
      </c>
      <c r="BH59">
        <v>130.19999999999999</v>
      </c>
      <c r="BI59">
        <v>131.19999999999999</v>
      </c>
      <c r="BJ59">
        <v>142.9</v>
      </c>
      <c r="BK59">
        <v>145.19999999999999</v>
      </c>
      <c r="BL59">
        <v>143.69999999999999</v>
      </c>
      <c r="BM59">
        <v>140.30000000000001</v>
      </c>
      <c r="BN59">
        <v>138.30000000000001</v>
      </c>
      <c r="BO59">
        <v>133.9</v>
      </c>
      <c r="BP59">
        <v>133.6</v>
      </c>
      <c r="BQ59">
        <v>135.6</v>
      </c>
      <c r="BR59">
        <v>139.19999999999999</v>
      </c>
      <c r="BS59">
        <v>138.1</v>
      </c>
      <c r="BT59">
        <v>135.1</v>
      </c>
      <c r="BU59">
        <v>137.30000000000001</v>
      </c>
      <c r="BV59">
        <v>137.1</v>
      </c>
      <c r="BW59">
        <v>138.80000000000001</v>
      </c>
      <c r="BX59">
        <v>140.19999999999999</v>
      </c>
      <c r="BY59">
        <v>141.5</v>
      </c>
      <c r="BZ59">
        <v>140.30000000000001</v>
      </c>
      <c r="CA59">
        <v>136</v>
      </c>
      <c r="CB59">
        <v>137.80000000000001</v>
      </c>
      <c r="CC59">
        <v>140</v>
      </c>
      <c r="CD59">
        <v>138.5</v>
      </c>
      <c r="CE59">
        <v>139.6</v>
      </c>
      <c r="CF59">
        <v>142.6</v>
      </c>
      <c r="CG59">
        <v>145.6</v>
      </c>
      <c r="CH59">
        <v>151.1</v>
      </c>
      <c r="CI59">
        <v>154.9</v>
      </c>
      <c r="CJ59">
        <v>151.80000000000001</v>
      </c>
      <c r="CK59">
        <v>148.1</v>
      </c>
      <c r="CL59">
        <v>148.80000000000001</v>
      </c>
      <c r="CM59" t="s">
        <v>43</v>
      </c>
      <c r="CN59">
        <v>151.4</v>
      </c>
      <c r="CO59">
        <v>151.4</v>
      </c>
      <c r="CP59">
        <v>150.80000000000001</v>
      </c>
      <c r="CQ59">
        <v>152.5</v>
      </c>
      <c r="CR59">
        <v>161.4</v>
      </c>
      <c r="CS59">
        <v>173.6</v>
      </c>
      <c r="CT59">
        <v>175.3</v>
      </c>
      <c r="CU59">
        <v>175.3</v>
      </c>
      <c r="CV59">
        <v>168.7</v>
      </c>
      <c r="CW59">
        <v>163.80000000000001</v>
      </c>
      <c r="CX59">
        <v>164.6</v>
      </c>
      <c r="CY59">
        <v>170.3</v>
      </c>
      <c r="CZ59">
        <v>180.7</v>
      </c>
      <c r="DA59">
        <v>182.2</v>
      </c>
      <c r="DB59">
        <v>172.8</v>
      </c>
      <c r="DC59">
        <v>172.8</v>
      </c>
      <c r="DD59">
        <v>171.2</v>
      </c>
      <c r="DE59">
        <v>173</v>
      </c>
      <c r="DF59">
        <v>177.9</v>
      </c>
      <c r="DG59">
        <v>178.8</v>
      </c>
      <c r="DH59">
        <v>175.8</v>
      </c>
      <c r="DI59">
        <v>167.8</v>
      </c>
      <c r="DJ59">
        <v>164.5</v>
      </c>
      <c r="DK59">
        <v>162.4</v>
      </c>
      <c r="DL59">
        <v>170.8</v>
      </c>
      <c r="DM59">
        <v>175.2</v>
      </c>
      <c r="DN59">
        <v>169.2</v>
      </c>
      <c r="DO59">
        <v>169.7</v>
      </c>
      <c r="DP59">
        <v>170.9</v>
      </c>
      <c r="DQ59">
        <v>181.4</v>
      </c>
      <c r="DR59">
        <v>190.2</v>
      </c>
      <c r="DS59">
        <v>194.5</v>
      </c>
      <c r="DT59">
        <v>175.2</v>
      </c>
      <c r="DU59">
        <v>175.2</v>
      </c>
      <c r="DV59">
        <v>169.6</v>
      </c>
      <c r="DW59">
        <v>173.2</v>
      </c>
    </row>
    <row r="60" spans="1:127" x14ac:dyDescent="0.3">
      <c r="A60" t="s">
        <v>37</v>
      </c>
      <c r="B60" t="str">
        <f>VLOOKUP(C60,'Broader Categories'!$A$1:$B$28,2,FALSE)</f>
        <v>Food</v>
      </c>
      <c r="C60" t="s">
        <v>6</v>
      </c>
      <c r="D60">
        <v>104.4</v>
      </c>
      <c r="E60">
        <v>104.9</v>
      </c>
      <c r="F60">
        <v>105.1</v>
      </c>
      <c r="G60">
        <v>105.7</v>
      </c>
      <c r="H60">
        <v>106.8</v>
      </c>
      <c r="I60">
        <v>107.9</v>
      </c>
      <c r="J60">
        <v>108.9</v>
      </c>
      <c r="K60">
        <v>109.6</v>
      </c>
      <c r="L60">
        <v>110.5</v>
      </c>
      <c r="M60">
        <v>111.2</v>
      </c>
      <c r="N60">
        <v>112.5</v>
      </c>
      <c r="O60">
        <v>113.4</v>
      </c>
      <c r="P60">
        <v>114.1</v>
      </c>
      <c r="Q60">
        <v>115.1</v>
      </c>
      <c r="R60">
        <v>116.1</v>
      </c>
      <c r="S60">
        <v>117</v>
      </c>
      <c r="T60">
        <v>118.4</v>
      </c>
      <c r="U60">
        <v>119.7</v>
      </c>
      <c r="V60">
        <v>121</v>
      </c>
      <c r="W60">
        <v>122</v>
      </c>
      <c r="X60">
        <v>122.7</v>
      </c>
      <c r="Y60">
        <v>123.2</v>
      </c>
      <c r="Z60">
        <v>124.2</v>
      </c>
      <c r="AA60">
        <v>124.5</v>
      </c>
      <c r="AB60">
        <v>125</v>
      </c>
      <c r="AC60">
        <v>125.7</v>
      </c>
      <c r="AD60">
        <v>126</v>
      </c>
      <c r="AE60">
        <v>126.6</v>
      </c>
      <c r="AF60">
        <v>127.3</v>
      </c>
      <c r="AG60">
        <v>128.19999999999999</v>
      </c>
      <c r="AH60">
        <v>128.30000000000001</v>
      </c>
      <c r="AI60">
        <v>128.5</v>
      </c>
      <c r="AJ60">
        <v>128.9</v>
      </c>
      <c r="AK60">
        <v>129.1</v>
      </c>
      <c r="AL60">
        <v>129.19999999999999</v>
      </c>
      <c r="AM60">
        <v>129.4</v>
      </c>
      <c r="AN60">
        <v>129.9</v>
      </c>
      <c r="AO60">
        <v>130.30000000000001</v>
      </c>
      <c r="AP60">
        <v>130.19999999999999</v>
      </c>
      <c r="AQ60">
        <v>130.9</v>
      </c>
      <c r="AR60">
        <v>131.69999999999999</v>
      </c>
      <c r="AS60">
        <v>132.6</v>
      </c>
      <c r="AT60">
        <v>133.5</v>
      </c>
      <c r="AU60">
        <v>134.1</v>
      </c>
      <c r="AV60">
        <v>134.4</v>
      </c>
      <c r="AW60">
        <v>134.80000000000001</v>
      </c>
      <c r="AX60">
        <v>135</v>
      </c>
      <c r="AY60">
        <v>135.1</v>
      </c>
      <c r="AZ60">
        <v>135.4</v>
      </c>
      <c r="BA60">
        <v>135.80000000000001</v>
      </c>
      <c r="BB60">
        <v>136.30000000000001</v>
      </c>
      <c r="BC60">
        <v>137.19999999999999</v>
      </c>
      <c r="BD60">
        <v>137.69999999999999</v>
      </c>
      <c r="BE60">
        <v>138.1</v>
      </c>
      <c r="BF60">
        <v>138.5</v>
      </c>
      <c r="BG60">
        <v>139</v>
      </c>
      <c r="BH60">
        <v>139.6</v>
      </c>
      <c r="BI60">
        <v>140.6</v>
      </c>
      <c r="BJ60">
        <v>140.80000000000001</v>
      </c>
      <c r="BK60">
        <v>141</v>
      </c>
      <c r="BL60">
        <v>141.1</v>
      </c>
      <c r="BM60">
        <v>140.9</v>
      </c>
      <c r="BN60">
        <v>141.19999999999999</v>
      </c>
      <c r="BO60">
        <v>141.6</v>
      </c>
      <c r="BP60">
        <v>142.1</v>
      </c>
      <c r="BQ60">
        <v>142.30000000000001</v>
      </c>
      <c r="BR60">
        <v>142.5</v>
      </c>
      <c r="BS60">
        <v>142.6</v>
      </c>
      <c r="BT60">
        <v>142.9</v>
      </c>
      <c r="BU60">
        <v>141.9</v>
      </c>
      <c r="BV60">
        <v>141.80000000000001</v>
      </c>
      <c r="BW60">
        <v>142.1</v>
      </c>
      <c r="BX60">
        <v>142.1</v>
      </c>
      <c r="BY60">
        <v>142.19999999999999</v>
      </c>
      <c r="BZ60">
        <v>142.30000000000001</v>
      </c>
      <c r="CA60">
        <v>142.5</v>
      </c>
      <c r="CB60">
        <v>143.30000000000001</v>
      </c>
      <c r="CC60">
        <v>144</v>
      </c>
      <c r="CD60">
        <v>144.69999999999999</v>
      </c>
      <c r="CE60">
        <v>145.4</v>
      </c>
      <c r="CF60">
        <v>146.19999999999999</v>
      </c>
      <c r="CG60">
        <v>146.69999999999999</v>
      </c>
      <c r="CH60">
        <v>148.30000000000001</v>
      </c>
      <c r="CI60">
        <v>150.1</v>
      </c>
      <c r="CJ60">
        <v>150.80000000000001</v>
      </c>
      <c r="CK60">
        <v>151.5</v>
      </c>
      <c r="CL60">
        <v>155.6</v>
      </c>
      <c r="CM60" t="s">
        <v>43</v>
      </c>
      <c r="CN60">
        <v>153.30000000000001</v>
      </c>
      <c r="CO60">
        <v>153.30000000000001</v>
      </c>
      <c r="CP60">
        <v>153.30000000000001</v>
      </c>
      <c r="CQ60">
        <v>153.6</v>
      </c>
      <c r="CR60">
        <v>153.6</v>
      </c>
      <c r="CS60">
        <v>153.80000000000001</v>
      </c>
      <c r="CT60">
        <v>154.1</v>
      </c>
      <c r="CU60">
        <v>154.1</v>
      </c>
      <c r="CV60">
        <v>154.69999999999999</v>
      </c>
      <c r="CW60">
        <v>154.9</v>
      </c>
      <c r="CX60">
        <v>155.4</v>
      </c>
      <c r="CY60">
        <v>156.1</v>
      </c>
      <c r="CZ60">
        <v>156.19999999999999</v>
      </c>
      <c r="DA60">
        <v>157.5</v>
      </c>
      <c r="DB60">
        <v>158.4</v>
      </c>
      <c r="DC60">
        <v>158.4</v>
      </c>
      <c r="DD60">
        <v>158.69999999999999</v>
      </c>
      <c r="DE60">
        <v>159.30000000000001</v>
      </c>
      <c r="DF60">
        <v>159.9</v>
      </c>
      <c r="DG60">
        <v>160.5</v>
      </c>
      <c r="DH60">
        <v>160.69999999999999</v>
      </c>
      <c r="DI60">
        <v>162.19999999999999</v>
      </c>
      <c r="DJ60">
        <v>163.9</v>
      </c>
      <c r="DK60">
        <v>164.9</v>
      </c>
      <c r="DL60">
        <v>165.8</v>
      </c>
      <c r="DM60">
        <v>166.6</v>
      </c>
      <c r="DN60">
        <v>168.1</v>
      </c>
      <c r="DO60">
        <v>169.7</v>
      </c>
      <c r="DP60">
        <v>170.9</v>
      </c>
      <c r="DQ60">
        <v>172.3</v>
      </c>
      <c r="DR60">
        <v>173.6</v>
      </c>
      <c r="DS60">
        <v>174.6</v>
      </c>
      <c r="DT60">
        <v>177.3</v>
      </c>
      <c r="DU60">
        <v>177.3</v>
      </c>
      <c r="DV60">
        <v>178.4</v>
      </c>
      <c r="DW60">
        <v>179.5</v>
      </c>
    </row>
    <row r="61" spans="1:127" x14ac:dyDescent="0.3">
      <c r="A61" t="s">
        <v>37</v>
      </c>
      <c r="B61" t="str">
        <f>VLOOKUP(C61,'Broader Categories'!$A$1:$B$28,2,FALSE)</f>
        <v>Food</v>
      </c>
      <c r="C61" t="s">
        <v>7</v>
      </c>
      <c r="D61">
        <v>105.1</v>
      </c>
      <c r="E61">
        <v>105.5</v>
      </c>
      <c r="F61">
        <v>104.9</v>
      </c>
      <c r="G61">
        <v>104.4</v>
      </c>
      <c r="H61">
        <v>103.9</v>
      </c>
      <c r="I61">
        <v>104.2</v>
      </c>
      <c r="J61">
        <v>104.3</v>
      </c>
      <c r="K61">
        <v>104.5</v>
      </c>
      <c r="L61">
        <v>105.3</v>
      </c>
      <c r="M61">
        <v>105.7</v>
      </c>
      <c r="N61">
        <v>106.8</v>
      </c>
      <c r="O61">
        <v>107.3</v>
      </c>
      <c r="P61">
        <v>106.8</v>
      </c>
      <c r="Q61">
        <v>106.6</v>
      </c>
      <c r="R61">
        <v>106.9</v>
      </c>
      <c r="S61">
        <v>107.3</v>
      </c>
      <c r="T61">
        <v>107.7</v>
      </c>
      <c r="U61">
        <v>107.8</v>
      </c>
      <c r="V61">
        <v>107.9</v>
      </c>
      <c r="W61">
        <v>108</v>
      </c>
      <c r="X61">
        <v>107.9</v>
      </c>
      <c r="Y61">
        <v>107.9</v>
      </c>
      <c r="Z61">
        <v>107.8</v>
      </c>
      <c r="AA61">
        <v>107.6</v>
      </c>
      <c r="AB61">
        <v>108.5</v>
      </c>
      <c r="AC61">
        <v>109.1</v>
      </c>
      <c r="AD61">
        <v>109.2</v>
      </c>
      <c r="AE61">
        <v>109.2</v>
      </c>
      <c r="AF61">
        <v>109.8</v>
      </c>
      <c r="AG61">
        <v>111.1</v>
      </c>
      <c r="AH61">
        <v>110.9</v>
      </c>
      <c r="AI61">
        <v>111.4</v>
      </c>
      <c r="AJ61">
        <v>111.9</v>
      </c>
      <c r="AK61">
        <v>113.3</v>
      </c>
      <c r="AL61">
        <v>114.9</v>
      </c>
      <c r="AM61">
        <v>115.3</v>
      </c>
      <c r="AN61">
        <v>115.5</v>
      </c>
      <c r="AO61">
        <v>114.8</v>
      </c>
      <c r="AP61">
        <v>114.5</v>
      </c>
      <c r="AQ61">
        <v>114.8</v>
      </c>
      <c r="AR61">
        <v>115</v>
      </c>
      <c r="AS61">
        <v>115.5</v>
      </c>
      <c r="AT61">
        <v>116.4</v>
      </c>
      <c r="AU61">
        <v>116.9</v>
      </c>
      <c r="AV61">
        <v>117.2</v>
      </c>
      <c r="AW61">
        <v>117.8</v>
      </c>
      <c r="AX61">
        <v>118</v>
      </c>
      <c r="AY61">
        <v>118.6</v>
      </c>
      <c r="AZ61">
        <v>119.1</v>
      </c>
      <c r="BA61">
        <v>119.2</v>
      </c>
      <c r="BB61">
        <v>118.8</v>
      </c>
      <c r="BC61">
        <v>118.4</v>
      </c>
      <c r="BD61">
        <v>118.1</v>
      </c>
      <c r="BE61">
        <v>118.2</v>
      </c>
      <c r="BF61">
        <v>118.1</v>
      </c>
      <c r="BG61">
        <v>118.1</v>
      </c>
      <c r="BH61">
        <v>118.4</v>
      </c>
      <c r="BI61">
        <v>119</v>
      </c>
      <c r="BJ61">
        <v>119.2</v>
      </c>
      <c r="BK61">
        <v>120.5</v>
      </c>
      <c r="BL61">
        <v>120.7</v>
      </c>
      <c r="BM61">
        <v>120.4</v>
      </c>
      <c r="BN61">
        <v>120.7</v>
      </c>
      <c r="BO61">
        <v>121</v>
      </c>
      <c r="BP61">
        <v>121</v>
      </c>
      <c r="BQ61">
        <v>121.3</v>
      </c>
      <c r="BR61">
        <v>121.4</v>
      </c>
      <c r="BS61">
        <v>122.2</v>
      </c>
      <c r="BT61">
        <v>122.1</v>
      </c>
      <c r="BU61">
        <v>121.1</v>
      </c>
      <c r="BV61">
        <v>121.1</v>
      </c>
      <c r="BW61">
        <v>122</v>
      </c>
      <c r="BX61">
        <v>121.8</v>
      </c>
      <c r="BY61">
        <v>122</v>
      </c>
      <c r="BZ61">
        <v>122</v>
      </c>
      <c r="CA61">
        <v>122</v>
      </c>
      <c r="CB61">
        <v>122.2</v>
      </c>
      <c r="CC61">
        <v>122.5</v>
      </c>
      <c r="CD61">
        <v>122.9</v>
      </c>
      <c r="CE61">
        <v>123.5</v>
      </c>
      <c r="CF61">
        <v>123.9</v>
      </c>
      <c r="CG61">
        <v>124.3</v>
      </c>
      <c r="CH61">
        <v>125.7</v>
      </c>
      <c r="CI61">
        <v>129.9</v>
      </c>
      <c r="CJ61">
        <v>131.4</v>
      </c>
      <c r="CK61">
        <v>131.19999999999999</v>
      </c>
      <c r="CL61">
        <v>135.1</v>
      </c>
      <c r="CM61" t="s">
        <v>43</v>
      </c>
      <c r="CN61">
        <v>136.30000000000001</v>
      </c>
      <c r="CO61">
        <v>136.30000000000001</v>
      </c>
      <c r="CP61">
        <v>137.4</v>
      </c>
      <c r="CQ61">
        <v>138.19999999999999</v>
      </c>
      <c r="CR61">
        <v>140.1</v>
      </c>
      <c r="CS61">
        <v>142.69999999999999</v>
      </c>
      <c r="CT61">
        <v>146.6</v>
      </c>
      <c r="CU61">
        <v>150.9</v>
      </c>
      <c r="CV61">
        <v>158.69999999999999</v>
      </c>
      <c r="CW61">
        <v>163.9</v>
      </c>
      <c r="CX61">
        <v>170.1</v>
      </c>
      <c r="CY61">
        <v>178.7</v>
      </c>
      <c r="CZ61">
        <v>183.7</v>
      </c>
      <c r="DA61">
        <v>182.1</v>
      </c>
      <c r="DB61">
        <v>188</v>
      </c>
      <c r="DC61">
        <v>188</v>
      </c>
      <c r="DD61">
        <v>190.6</v>
      </c>
      <c r="DE61">
        <v>190.1</v>
      </c>
      <c r="DF61">
        <v>187.6</v>
      </c>
      <c r="DG61">
        <v>184.7</v>
      </c>
      <c r="DH61">
        <v>184.9</v>
      </c>
      <c r="DI61">
        <v>194.6</v>
      </c>
      <c r="DJ61">
        <v>199.5</v>
      </c>
      <c r="DK61">
        <v>202.4</v>
      </c>
      <c r="DL61">
        <v>200.9</v>
      </c>
      <c r="DM61">
        <v>195.8</v>
      </c>
      <c r="DN61">
        <v>192.4</v>
      </c>
      <c r="DO61">
        <v>188.7</v>
      </c>
      <c r="DP61">
        <v>186.5</v>
      </c>
      <c r="DQ61">
        <v>188.9</v>
      </c>
      <c r="DR61">
        <v>188.5</v>
      </c>
      <c r="DS61">
        <v>187.2</v>
      </c>
      <c r="DT61">
        <v>179.3</v>
      </c>
      <c r="DU61">
        <v>179.2</v>
      </c>
      <c r="DV61">
        <v>174.9</v>
      </c>
      <c r="DW61">
        <v>170</v>
      </c>
    </row>
    <row r="62" spans="1:127" x14ac:dyDescent="0.3">
      <c r="A62" t="s">
        <v>37</v>
      </c>
      <c r="B62" t="str">
        <f>VLOOKUP(C62,'Broader Categories'!$A$1:$B$28,2,FALSE)</f>
        <v>Food</v>
      </c>
      <c r="C62" t="s">
        <v>8</v>
      </c>
      <c r="D62">
        <v>103.2</v>
      </c>
      <c r="E62">
        <v>103.6</v>
      </c>
      <c r="F62">
        <v>105.3</v>
      </c>
      <c r="G62">
        <v>108.9</v>
      </c>
      <c r="H62">
        <v>109.3</v>
      </c>
      <c r="I62">
        <v>110.7</v>
      </c>
      <c r="J62">
        <v>111.7</v>
      </c>
      <c r="K62">
        <v>109.8</v>
      </c>
      <c r="L62">
        <v>107.3</v>
      </c>
      <c r="M62">
        <v>109.9</v>
      </c>
      <c r="N62">
        <v>113.5</v>
      </c>
      <c r="O62">
        <v>113.3</v>
      </c>
      <c r="P62">
        <v>113.9</v>
      </c>
      <c r="Q62">
        <v>115.4</v>
      </c>
      <c r="R62">
        <v>118.7</v>
      </c>
      <c r="S62">
        <v>126.1</v>
      </c>
      <c r="T62">
        <v>127.7</v>
      </c>
      <c r="U62">
        <v>128.30000000000001</v>
      </c>
      <c r="V62">
        <v>131.19999999999999</v>
      </c>
      <c r="W62">
        <v>131.1</v>
      </c>
      <c r="X62">
        <v>127.3</v>
      </c>
      <c r="Y62">
        <v>126.4</v>
      </c>
      <c r="Z62">
        <v>125.7</v>
      </c>
      <c r="AA62">
        <v>125.7</v>
      </c>
      <c r="AB62">
        <v>126.2</v>
      </c>
      <c r="AC62">
        <v>125.8</v>
      </c>
      <c r="AD62">
        <v>127.6</v>
      </c>
      <c r="AE62">
        <v>132.5</v>
      </c>
      <c r="AF62">
        <v>132.6</v>
      </c>
      <c r="AG62">
        <v>132.80000000000001</v>
      </c>
      <c r="AH62">
        <v>133.1</v>
      </c>
      <c r="AI62">
        <v>132.30000000000001</v>
      </c>
      <c r="AJ62">
        <v>128.4</v>
      </c>
      <c r="AK62">
        <v>129</v>
      </c>
      <c r="AL62">
        <v>128.19999999999999</v>
      </c>
      <c r="AM62">
        <v>126.6</v>
      </c>
      <c r="AN62">
        <v>125.7</v>
      </c>
      <c r="AO62">
        <v>124.9</v>
      </c>
      <c r="AP62">
        <v>126.2</v>
      </c>
      <c r="AQ62">
        <v>134.80000000000001</v>
      </c>
      <c r="AR62">
        <v>136</v>
      </c>
      <c r="AS62">
        <v>136.5</v>
      </c>
      <c r="AT62">
        <v>137.80000000000001</v>
      </c>
      <c r="AU62">
        <v>138.1</v>
      </c>
      <c r="AV62">
        <v>136.1</v>
      </c>
      <c r="AW62">
        <v>134.69999999999999</v>
      </c>
      <c r="AX62">
        <v>134.1</v>
      </c>
      <c r="AY62">
        <v>132.69999999999999</v>
      </c>
      <c r="AZ62">
        <v>133</v>
      </c>
      <c r="BA62">
        <v>135.30000000000001</v>
      </c>
      <c r="BB62">
        <v>138.30000000000001</v>
      </c>
      <c r="BC62">
        <v>139.9</v>
      </c>
      <c r="BD62">
        <v>137.9</v>
      </c>
      <c r="BE62">
        <v>139.19999999999999</v>
      </c>
      <c r="BF62">
        <v>141.80000000000001</v>
      </c>
      <c r="BG62">
        <v>145.5</v>
      </c>
      <c r="BH62">
        <v>143</v>
      </c>
      <c r="BI62">
        <v>141.5</v>
      </c>
      <c r="BJ62">
        <v>142.19999999999999</v>
      </c>
      <c r="BK62">
        <v>141.5</v>
      </c>
      <c r="BL62">
        <v>141.30000000000001</v>
      </c>
      <c r="BM62">
        <v>142.9</v>
      </c>
      <c r="BN62">
        <v>146.19999999999999</v>
      </c>
      <c r="BO62">
        <v>153.5</v>
      </c>
      <c r="BP62">
        <v>154.6</v>
      </c>
      <c r="BQ62">
        <v>153.19999999999999</v>
      </c>
      <c r="BR62">
        <v>151.6</v>
      </c>
      <c r="BS62">
        <v>150.6</v>
      </c>
      <c r="BT62">
        <v>145.4</v>
      </c>
      <c r="BU62">
        <v>142.5</v>
      </c>
      <c r="BV62">
        <v>142.80000000000001</v>
      </c>
      <c r="BW62">
        <v>139.4</v>
      </c>
      <c r="BX62">
        <v>135.4</v>
      </c>
      <c r="BY62">
        <v>136.4</v>
      </c>
      <c r="BZ62">
        <v>137.6</v>
      </c>
      <c r="CA62">
        <v>146.5</v>
      </c>
      <c r="CB62">
        <v>146.80000000000001</v>
      </c>
      <c r="CC62">
        <v>150.30000000000001</v>
      </c>
      <c r="CD62">
        <v>149.4</v>
      </c>
      <c r="CE62">
        <v>146.6</v>
      </c>
      <c r="CF62">
        <v>148</v>
      </c>
      <c r="CG62">
        <v>147.4</v>
      </c>
      <c r="CH62">
        <v>145.69999999999999</v>
      </c>
      <c r="CI62">
        <v>143.19999999999999</v>
      </c>
      <c r="CJ62">
        <v>141.80000000000001</v>
      </c>
      <c r="CK62">
        <v>142.5</v>
      </c>
      <c r="CL62">
        <v>149.9</v>
      </c>
      <c r="CM62" t="s">
        <v>43</v>
      </c>
      <c r="CN62">
        <v>147.19999999999999</v>
      </c>
      <c r="CO62">
        <v>147.19999999999999</v>
      </c>
      <c r="CP62">
        <v>150.4</v>
      </c>
      <c r="CQ62">
        <v>150.9</v>
      </c>
      <c r="CR62">
        <v>151.19999999999999</v>
      </c>
      <c r="CS62">
        <v>148.4</v>
      </c>
      <c r="CT62">
        <v>147.69999999999999</v>
      </c>
      <c r="CU62">
        <v>149.6</v>
      </c>
      <c r="CV62">
        <v>150.69999999999999</v>
      </c>
      <c r="CW62">
        <v>153.69999999999999</v>
      </c>
      <c r="CX62">
        <v>164.4</v>
      </c>
      <c r="CY62">
        <v>167.1</v>
      </c>
      <c r="CZ62">
        <v>164.6</v>
      </c>
      <c r="DA62">
        <v>163.9</v>
      </c>
      <c r="DB62">
        <v>156.80000000000001</v>
      </c>
      <c r="DC62">
        <v>156.69999999999999</v>
      </c>
      <c r="DD62">
        <v>155.69999999999999</v>
      </c>
      <c r="DE62">
        <v>156.5</v>
      </c>
      <c r="DF62">
        <v>154.9</v>
      </c>
      <c r="DG62">
        <v>153.69999999999999</v>
      </c>
      <c r="DH62">
        <v>153.69999999999999</v>
      </c>
      <c r="DI62">
        <v>157.6</v>
      </c>
      <c r="DJ62">
        <v>172.6</v>
      </c>
      <c r="DK62">
        <v>171</v>
      </c>
      <c r="DL62">
        <v>169.7</v>
      </c>
      <c r="DM62">
        <v>174.2</v>
      </c>
      <c r="DN62">
        <v>172.9</v>
      </c>
      <c r="DO62">
        <v>165.7</v>
      </c>
      <c r="DP62">
        <v>163.80000000000001</v>
      </c>
      <c r="DQ62">
        <v>160.69999999999999</v>
      </c>
      <c r="DR62">
        <v>158</v>
      </c>
      <c r="DS62">
        <v>158.30000000000001</v>
      </c>
      <c r="DT62">
        <v>169.5</v>
      </c>
      <c r="DU62">
        <v>169.5</v>
      </c>
      <c r="DV62">
        <v>176.3</v>
      </c>
      <c r="DW62">
        <v>172.2</v>
      </c>
    </row>
    <row r="63" spans="1:127" x14ac:dyDescent="0.3">
      <c r="A63" t="s">
        <v>37</v>
      </c>
      <c r="B63" t="str">
        <f>VLOOKUP(C63,'Broader Categories'!$A$1:$B$28,2,FALSE)</f>
        <v>Food</v>
      </c>
      <c r="C63" t="s">
        <v>9</v>
      </c>
      <c r="D63">
        <v>102.2</v>
      </c>
      <c r="E63">
        <v>103.2</v>
      </c>
      <c r="F63">
        <v>102.2</v>
      </c>
      <c r="G63">
        <v>105.5</v>
      </c>
      <c r="H63">
        <v>112.9</v>
      </c>
      <c r="I63">
        <v>126.7</v>
      </c>
      <c r="J63">
        <v>140</v>
      </c>
      <c r="K63">
        <v>151.80000000000001</v>
      </c>
      <c r="L63">
        <v>160.9</v>
      </c>
      <c r="M63">
        <v>171.2</v>
      </c>
      <c r="N63">
        <v>183.1</v>
      </c>
      <c r="O63">
        <v>145.4</v>
      </c>
      <c r="P63">
        <v>122.2</v>
      </c>
      <c r="Q63">
        <v>114.5</v>
      </c>
      <c r="R63">
        <v>116.3</v>
      </c>
      <c r="S63">
        <v>120.7</v>
      </c>
      <c r="T63">
        <v>125</v>
      </c>
      <c r="U63">
        <v>132.1</v>
      </c>
      <c r="V63">
        <v>157.69999999999999</v>
      </c>
      <c r="W63">
        <v>168.2</v>
      </c>
      <c r="X63">
        <v>162.1</v>
      </c>
      <c r="Y63">
        <v>156.80000000000001</v>
      </c>
      <c r="Z63">
        <v>152.4</v>
      </c>
      <c r="AA63">
        <v>140.5</v>
      </c>
      <c r="AB63">
        <v>133</v>
      </c>
      <c r="AC63">
        <v>129.4</v>
      </c>
      <c r="AD63">
        <v>129.19999999999999</v>
      </c>
      <c r="AE63">
        <v>128.6</v>
      </c>
      <c r="AF63">
        <v>130.9</v>
      </c>
      <c r="AG63">
        <v>139.1</v>
      </c>
      <c r="AH63">
        <v>145.1</v>
      </c>
      <c r="AI63">
        <v>157.6</v>
      </c>
      <c r="AJ63">
        <v>162.19999999999999</v>
      </c>
      <c r="AK63">
        <v>160.4</v>
      </c>
      <c r="AL63">
        <v>158.4</v>
      </c>
      <c r="AM63">
        <v>146.69999999999999</v>
      </c>
      <c r="AN63">
        <v>141.5</v>
      </c>
      <c r="AO63">
        <v>130.30000000000001</v>
      </c>
      <c r="AP63">
        <v>129.80000000000001</v>
      </c>
      <c r="AQ63">
        <v>135</v>
      </c>
      <c r="AR63">
        <v>145.1</v>
      </c>
      <c r="AS63">
        <v>159.69999999999999</v>
      </c>
      <c r="AT63">
        <v>165.4</v>
      </c>
      <c r="AU63">
        <v>159.1</v>
      </c>
      <c r="AV63">
        <v>150.69999999999999</v>
      </c>
      <c r="AW63">
        <v>151.19999999999999</v>
      </c>
      <c r="AX63">
        <v>141.9</v>
      </c>
      <c r="AY63">
        <v>125.3</v>
      </c>
      <c r="AZ63">
        <v>119.4</v>
      </c>
      <c r="BA63">
        <v>119.5</v>
      </c>
      <c r="BB63">
        <v>120.5</v>
      </c>
      <c r="BC63">
        <v>123.4</v>
      </c>
      <c r="BD63">
        <v>125.6</v>
      </c>
      <c r="BE63">
        <v>133.30000000000001</v>
      </c>
      <c r="BF63">
        <v>159.5</v>
      </c>
      <c r="BG63">
        <v>168.6</v>
      </c>
      <c r="BH63">
        <v>156.6</v>
      </c>
      <c r="BI63">
        <v>162.6</v>
      </c>
      <c r="BJ63">
        <v>173.8</v>
      </c>
      <c r="BK63">
        <v>161.69999999999999</v>
      </c>
      <c r="BL63">
        <v>151.6</v>
      </c>
      <c r="BM63">
        <v>140.5</v>
      </c>
      <c r="BN63">
        <v>134.6</v>
      </c>
      <c r="BO63">
        <v>132.6</v>
      </c>
      <c r="BP63">
        <v>135.6</v>
      </c>
      <c r="BQ63">
        <v>143.69999999999999</v>
      </c>
      <c r="BR63">
        <v>155.9</v>
      </c>
      <c r="BS63">
        <v>156.6</v>
      </c>
      <c r="BT63">
        <v>150</v>
      </c>
      <c r="BU63">
        <v>146.69999999999999</v>
      </c>
      <c r="BV63">
        <v>146.69999999999999</v>
      </c>
      <c r="BW63">
        <v>135.19999999999999</v>
      </c>
      <c r="BX63">
        <v>131.30000000000001</v>
      </c>
      <c r="BY63">
        <v>129.69999999999999</v>
      </c>
      <c r="BZ63">
        <v>132.6</v>
      </c>
      <c r="CA63">
        <v>143</v>
      </c>
      <c r="CB63">
        <v>150.5</v>
      </c>
      <c r="CC63">
        <v>160.30000000000001</v>
      </c>
      <c r="CD63">
        <v>167.4</v>
      </c>
      <c r="CE63">
        <v>173.2</v>
      </c>
      <c r="CF63">
        <v>188.4</v>
      </c>
      <c r="CG63">
        <v>199.6</v>
      </c>
      <c r="CH63">
        <v>217</v>
      </c>
      <c r="CI63">
        <v>197</v>
      </c>
      <c r="CJ63">
        <v>170.7</v>
      </c>
      <c r="CK63">
        <v>157.30000000000001</v>
      </c>
      <c r="CL63">
        <v>168.6</v>
      </c>
      <c r="CM63" t="s">
        <v>43</v>
      </c>
      <c r="CN63">
        <v>156.5</v>
      </c>
      <c r="CO63">
        <v>156.5</v>
      </c>
      <c r="CP63">
        <v>178.1</v>
      </c>
      <c r="CQ63">
        <v>186.7</v>
      </c>
      <c r="CR63">
        <v>209.2</v>
      </c>
      <c r="CS63">
        <v>230</v>
      </c>
      <c r="CT63">
        <v>230.5</v>
      </c>
      <c r="CU63">
        <v>194.2</v>
      </c>
      <c r="CV63">
        <v>160</v>
      </c>
      <c r="CW63">
        <v>149.5</v>
      </c>
      <c r="CX63">
        <v>144.1</v>
      </c>
      <c r="CY63">
        <v>147.9</v>
      </c>
      <c r="CZ63">
        <v>155.4</v>
      </c>
      <c r="DA63">
        <v>164.2</v>
      </c>
      <c r="DB63">
        <v>162.19999999999999</v>
      </c>
      <c r="DC63">
        <v>162.30000000000001</v>
      </c>
      <c r="DD63">
        <v>185.3</v>
      </c>
      <c r="DE63">
        <v>199.2</v>
      </c>
      <c r="DF63">
        <v>188.3</v>
      </c>
      <c r="DG63">
        <v>174.3</v>
      </c>
      <c r="DH63">
        <v>169.7</v>
      </c>
      <c r="DI63">
        <v>166.9</v>
      </c>
      <c r="DJ63">
        <v>166.2</v>
      </c>
      <c r="DK63">
        <v>174.9</v>
      </c>
      <c r="DL63">
        <v>182.3</v>
      </c>
      <c r="DM63">
        <v>182.1</v>
      </c>
      <c r="DN63">
        <v>186.7</v>
      </c>
      <c r="DO63">
        <v>191.8</v>
      </c>
      <c r="DP63">
        <v>199.7</v>
      </c>
      <c r="DQ63">
        <v>183.1</v>
      </c>
      <c r="DR63">
        <v>159.9</v>
      </c>
      <c r="DS63">
        <v>153.9</v>
      </c>
      <c r="DT63">
        <v>152.69999999999999</v>
      </c>
      <c r="DU63">
        <v>152.80000000000001</v>
      </c>
      <c r="DV63">
        <v>155.4</v>
      </c>
      <c r="DW63">
        <v>161</v>
      </c>
    </row>
    <row r="64" spans="1:127" x14ac:dyDescent="0.3">
      <c r="A64" t="s">
        <v>37</v>
      </c>
      <c r="B64" t="str">
        <f>VLOOKUP(C64,'Broader Categories'!$A$1:$B$28,2,FALSE)</f>
        <v>Food</v>
      </c>
      <c r="C64" t="s">
        <v>10</v>
      </c>
      <c r="D64">
        <v>106</v>
      </c>
      <c r="E64">
        <v>105.3</v>
      </c>
      <c r="F64">
        <v>105</v>
      </c>
      <c r="G64">
        <v>105.3</v>
      </c>
      <c r="H64">
        <v>105.8</v>
      </c>
      <c r="I64">
        <v>106.3</v>
      </c>
      <c r="J64">
        <v>106.4</v>
      </c>
      <c r="K64">
        <v>106.5</v>
      </c>
      <c r="L64">
        <v>107.1</v>
      </c>
      <c r="M64">
        <v>107.3</v>
      </c>
      <c r="N64">
        <v>108.2</v>
      </c>
      <c r="O64">
        <v>108.7</v>
      </c>
      <c r="P64">
        <v>108.9</v>
      </c>
      <c r="Q64">
        <v>109.3</v>
      </c>
      <c r="R64">
        <v>109.8</v>
      </c>
      <c r="S64">
        <v>111</v>
      </c>
      <c r="T64">
        <v>111.9</v>
      </c>
      <c r="U64">
        <v>112.4</v>
      </c>
      <c r="V64">
        <v>113.2</v>
      </c>
      <c r="W64">
        <v>114.5</v>
      </c>
      <c r="X64">
        <v>115.6</v>
      </c>
      <c r="Y64">
        <v>116.1</v>
      </c>
      <c r="Z64">
        <v>117.2</v>
      </c>
      <c r="AA64">
        <v>117.6</v>
      </c>
      <c r="AB64">
        <v>119.1</v>
      </c>
      <c r="AC64">
        <v>120.9</v>
      </c>
      <c r="AD64">
        <v>122.4</v>
      </c>
      <c r="AE64">
        <v>124.8</v>
      </c>
      <c r="AF64">
        <v>130.5</v>
      </c>
      <c r="AG64">
        <v>137.4</v>
      </c>
      <c r="AH64">
        <v>139.1</v>
      </c>
      <c r="AI64">
        <v>144</v>
      </c>
      <c r="AJ64">
        <v>150</v>
      </c>
      <c r="AK64">
        <v>165.3</v>
      </c>
      <c r="AL64">
        <v>171.2</v>
      </c>
      <c r="AM64">
        <v>171.5</v>
      </c>
      <c r="AN64">
        <v>170.7</v>
      </c>
      <c r="AO64">
        <v>167.4</v>
      </c>
      <c r="AP64">
        <v>164.3</v>
      </c>
      <c r="AQ64">
        <v>167.5</v>
      </c>
      <c r="AR64">
        <v>171.7</v>
      </c>
      <c r="AS64">
        <v>174.3</v>
      </c>
      <c r="AT64">
        <v>177.4</v>
      </c>
      <c r="AU64">
        <v>175.6</v>
      </c>
      <c r="AV64">
        <v>171.5</v>
      </c>
      <c r="AW64">
        <v>172.1</v>
      </c>
      <c r="AX64">
        <v>171.7</v>
      </c>
      <c r="AY64">
        <v>168.7</v>
      </c>
      <c r="AZ64">
        <v>159.5</v>
      </c>
      <c r="BA64">
        <v>152.19999999999999</v>
      </c>
      <c r="BB64">
        <v>143.9</v>
      </c>
      <c r="BC64">
        <v>140.9</v>
      </c>
      <c r="BD64">
        <v>138.30000000000001</v>
      </c>
      <c r="BE64">
        <v>136.19999999999999</v>
      </c>
      <c r="BF64">
        <v>133.6</v>
      </c>
      <c r="BG64">
        <v>132.69999999999999</v>
      </c>
      <c r="BH64">
        <v>132.9</v>
      </c>
      <c r="BI64">
        <v>132.30000000000001</v>
      </c>
      <c r="BJ64">
        <v>131.19999999999999</v>
      </c>
      <c r="BK64">
        <v>129.1</v>
      </c>
      <c r="BL64">
        <v>127.3</v>
      </c>
      <c r="BM64">
        <v>125.8</v>
      </c>
      <c r="BN64">
        <v>124.6</v>
      </c>
      <c r="BO64">
        <v>123.5</v>
      </c>
      <c r="BP64">
        <v>122.3</v>
      </c>
      <c r="BQ64">
        <v>121.4</v>
      </c>
      <c r="BR64">
        <v>121.7</v>
      </c>
      <c r="BS64">
        <v>122.4</v>
      </c>
      <c r="BT64">
        <v>121.4</v>
      </c>
      <c r="BU64">
        <v>119.1</v>
      </c>
      <c r="BV64">
        <v>119.1</v>
      </c>
      <c r="BW64">
        <v>119.8</v>
      </c>
      <c r="BX64">
        <v>120.3</v>
      </c>
      <c r="BY64">
        <v>121</v>
      </c>
      <c r="BZ64">
        <v>121.8</v>
      </c>
      <c r="CA64">
        <v>124.9</v>
      </c>
      <c r="CB64">
        <v>128.30000000000001</v>
      </c>
      <c r="CC64">
        <v>130</v>
      </c>
      <c r="CD64">
        <v>130.9</v>
      </c>
      <c r="CE64">
        <v>131.6</v>
      </c>
      <c r="CF64">
        <v>132.5</v>
      </c>
      <c r="CG64">
        <v>135.69999999999999</v>
      </c>
      <c r="CH64">
        <v>138.30000000000001</v>
      </c>
      <c r="CI64">
        <v>140.4</v>
      </c>
      <c r="CJ64">
        <v>141.1</v>
      </c>
      <c r="CK64">
        <v>141.1</v>
      </c>
      <c r="CL64">
        <v>150.4</v>
      </c>
      <c r="CM64" t="s">
        <v>43</v>
      </c>
      <c r="CN64">
        <v>150.9</v>
      </c>
      <c r="CO64">
        <v>150.9</v>
      </c>
      <c r="CP64">
        <v>150.4</v>
      </c>
      <c r="CQ64">
        <v>149.80000000000001</v>
      </c>
      <c r="CR64">
        <v>150.9</v>
      </c>
      <c r="CS64">
        <v>156.80000000000001</v>
      </c>
      <c r="CT64">
        <v>160.19999999999999</v>
      </c>
      <c r="CU64">
        <v>160.4</v>
      </c>
      <c r="CV64">
        <v>158.80000000000001</v>
      </c>
      <c r="CW64">
        <v>159.80000000000001</v>
      </c>
      <c r="CX64">
        <v>161.69999999999999</v>
      </c>
      <c r="CY64">
        <v>165.4</v>
      </c>
      <c r="CZ64">
        <v>166</v>
      </c>
      <c r="DA64">
        <v>164</v>
      </c>
      <c r="DB64">
        <v>164.1</v>
      </c>
      <c r="DC64">
        <v>164.1</v>
      </c>
      <c r="DD64">
        <v>165.2</v>
      </c>
      <c r="DE64">
        <v>165.3</v>
      </c>
      <c r="DF64">
        <v>164.4</v>
      </c>
      <c r="DG64">
        <v>163.9</v>
      </c>
      <c r="DH64">
        <v>163.69999999999999</v>
      </c>
      <c r="DI64">
        <v>163.9</v>
      </c>
      <c r="DJ64">
        <v>164.7</v>
      </c>
      <c r="DK64">
        <v>164.7</v>
      </c>
      <c r="DL64">
        <v>164.3</v>
      </c>
      <c r="DM64">
        <v>164.3</v>
      </c>
      <c r="DN64">
        <v>167.2</v>
      </c>
      <c r="DO64">
        <v>169.1</v>
      </c>
      <c r="DP64">
        <v>169.8</v>
      </c>
      <c r="DQ64">
        <v>170.5</v>
      </c>
      <c r="DR64">
        <v>170.8</v>
      </c>
      <c r="DS64">
        <v>170.9</v>
      </c>
      <c r="DT64">
        <v>171</v>
      </c>
      <c r="DU64">
        <v>171.1</v>
      </c>
      <c r="DV64">
        <v>173.4</v>
      </c>
      <c r="DW64">
        <v>175.6</v>
      </c>
    </row>
    <row r="65" spans="1:127" x14ac:dyDescent="0.3">
      <c r="A65" t="s">
        <v>37</v>
      </c>
      <c r="B65" t="str">
        <f>VLOOKUP(C65,'Broader Categories'!$A$1:$B$28,2,FALSE)</f>
        <v>Food</v>
      </c>
      <c r="C65" t="s">
        <v>11</v>
      </c>
      <c r="D65">
        <v>106.2</v>
      </c>
      <c r="E65">
        <v>105.1</v>
      </c>
      <c r="F65">
        <v>104.2</v>
      </c>
      <c r="G65">
        <v>103.5</v>
      </c>
      <c r="H65">
        <v>103.1</v>
      </c>
      <c r="I65">
        <v>103.2</v>
      </c>
      <c r="J65">
        <v>103.3</v>
      </c>
      <c r="K65">
        <v>103.1</v>
      </c>
      <c r="L65">
        <v>103.1</v>
      </c>
      <c r="M65">
        <v>102.7</v>
      </c>
      <c r="N65">
        <v>102.2</v>
      </c>
      <c r="O65">
        <v>101.5</v>
      </c>
      <c r="P65">
        <v>100.2</v>
      </c>
      <c r="Q65">
        <v>99.2</v>
      </c>
      <c r="R65">
        <v>99.6</v>
      </c>
      <c r="S65">
        <v>101.8</v>
      </c>
      <c r="T65">
        <v>102.8</v>
      </c>
      <c r="U65">
        <v>102.9</v>
      </c>
      <c r="V65">
        <v>104.1</v>
      </c>
      <c r="W65">
        <v>104.3</v>
      </c>
      <c r="X65">
        <v>103.8</v>
      </c>
      <c r="Y65">
        <v>103.1</v>
      </c>
      <c r="Z65">
        <v>102.1</v>
      </c>
      <c r="AA65">
        <v>100.6</v>
      </c>
      <c r="AB65">
        <v>99</v>
      </c>
      <c r="AC65">
        <v>98.3</v>
      </c>
      <c r="AD65">
        <v>97</v>
      </c>
      <c r="AE65">
        <v>95.7</v>
      </c>
      <c r="AF65">
        <v>95.3</v>
      </c>
      <c r="AG65">
        <v>94.1</v>
      </c>
      <c r="AH65">
        <v>91.3</v>
      </c>
      <c r="AI65">
        <v>90.5</v>
      </c>
      <c r="AJ65">
        <v>90.4</v>
      </c>
      <c r="AK65">
        <v>92.3</v>
      </c>
      <c r="AL65">
        <v>93.3</v>
      </c>
      <c r="AM65">
        <v>94.5</v>
      </c>
      <c r="AN65">
        <v>97.4</v>
      </c>
      <c r="AO65">
        <v>98.8</v>
      </c>
      <c r="AP65">
        <v>100.9</v>
      </c>
      <c r="AQ65">
        <v>106.4</v>
      </c>
      <c r="AR65">
        <v>108.7</v>
      </c>
      <c r="AS65">
        <v>109.9</v>
      </c>
      <c r="AT65">
        <v>111.3</v>
      </c>
      <c r="AU65">
        <v>112.9</v>
      </c>
      <c r="AV65">
        <v>113.8</v>
      </c>
      <c r="AW65">
        <v>114.1</v>
      </c>
      <c r="AX65">
        <v>114.1</v>
      </c>
      <c r="AY65">
        <v>114.4</v>
      </c>
      <c r="AZ65">
        <v>115.6</v>
      </c>
      <c r="BA65">
        <v>117.3</v>
      </c>
      <c r="BB65">
        <v>118</v>
      </c>
      <c r="BC65">
        <v>118.5</v>
      </c>
      <c r="BD65">
        <v>119.4</v>
      </c>
      <c r="BE65">
        <v>119.6</v>
      </c>
      <c r="BF65">
        <v>120.5</v>
      </c>
      <c r="BG65">
        <v>121.2</v>
      </c>
      <c r="BH65">
        <v>121.5</v>
      </c>
      <c r="BI65">
        <v>121.8</v>
      </c>
      <c r="BJ65">
        <v>123</v>
      </c>
      <c r="BK65">
        <v>121.5</v>
      </c>
      <c r="BL65">
        <v>118.8</v>
      </c>
      <c r="BM65">
        <v>117.1</v>
      </c>
      <c r="BN65">
        <v>116.1</v>
      </c>
      <c r="BO65">
        <v>113.7</v>
      </c>
      <c r="BP65">
        <v>109.6</v>
      </c>
      <c r="BQ65">
        <v>111.1</v>
      </c>
      <c r="BR65">
        <v>113.5</v>
      </c>
      <c r="BS65">
        <v>114.7</v>
      </c>
      <c r="BT65">
        <v>113.7</v>
      </c>
      <c r="BU65">
        <v>111.9</v>
      </c>
      <c r="BV65">
        <v>111.9</v>
      </c>
      <c r="BW65">
        <v>110.3</v>
      </c>
      <c r="BX65">
        <v>109.1</v>
      </c>
      <c r="BY65">
        <v>109</v>
      </c>
      <c r="BZ65">
        <v>109</v>
      </c>
      <c r="CA65">
        <v>109.9</v>
      </c>
      <c r="CB65">
        <v>111</v>
      </c>
      <c r="CC65">
        <v>111.1</v>
      </c>
      <c r="CD65">
        <v>112</v>
      </c>
      <c r="CE65">
        <v>113.2</v>
      </c>
      <c r="CF65">
        <v>114</v>
      </c>
      <c r="CG65">
        <v>114.2</v>
      </c>
      <c r="CH65">
        <v>114</v>
      </c>
      <c r="CI65">
        <v>114.1</v>
      </c>
      <c r="CJ65">
        <v>113.6</v>
      </c>
      <c r="CK65">
        <v>113.2</v>
      </c>
      <c r="CL65">
        <v>120.3</v>
      </c>
      <c r="CM65" t="s">
        <v>43</v>
      </c>
      <c r="CN65">
        <v>114.2</v>
      </c>
      <c r="CO65">
        <v>114.2</v>
      </c>
      <c r="CP65">
        <v>115.1</v>
      </c>
      <c r="CQ65">
        <v>116.4</v>
      </c>
      <c r="CR65">
        <v>116.2</v>
      </c>
      <c r="CS65">
        <v>115.7</v>
      </c>
      <c r="CT65">
        <v>115.3</v>
      </c>
      <c r="CU65">
        <v>114.6</v>
      </c>
      <c r="CV65">
        <v>112.8</v>
      </c>
      <c r="CW65">
        <v>112.6</v>
      </c>
      <c r="CX65">
        <v>113.1</v>
      </c>
      <c r="CY65">
        <v>114.8</v>
      </c>
      <c r="CZ65">
        <v>115.1</v>
      </c>
      <c r="DA65">
        <v>114.5</v>
      </c>
      <c r="DB65">
        <v>119.7</v>
      </c>
      <c r="DC65">
        <v>119.7</v>
      </c>
      <c r="DD65">
        <v>121.9</v>
      </c>
      <c r="DE65">
        <v>122.4</v>
      </c>
      <c r="DF65">
        <v>121</v>
      </c>
      <c r="DG65">
        <v>120</v>
      </c>
      <c r="DH65">
        <v>118.9</v>
      </c>
      <c r="DI65">
        <v>118.8</v>
      </c>
      <c r="DJ65">
        <v>119</v>
      </c>
      <c r="DK65">
        <v>119.7</v>
      </c>
      <c r="DL65">
        <v>119.9</v>
      </c>
      <c r="DM65">
        <v>120</v>
      </c>
      <c r="DN65">
        <v>120.9</v>
      </c>
      <c r="DO65">
        <v>121.6</v>
      </c>
      <c r="DP65">
        <v>121.9</v>
      </c>
      <c r="DQ65">
        <v>122.1</v>
      </c>
      <c r="DR65">
        <v>121.8</v>
      </c>
      <c r="DS65">
        <v>121.1</v>
      </c>
      <c r="DT65">
        <v>120</v>
      </c>
      <c r="DU65">
        <v>120</v>
      </c>
      <c r="DV65">
        <v>121.3</v>
      </c>
      <c r="DW65">
        <v>122.7</v>
      </c>
    </row>
    <row r="66" spans="1:127" x14ac:dyDescent="0.3">
      <c r="A66" t="s">
        <v>37</v>
      </c>
      <c r="B66" t="str">
        <f>VLOOKUP(C66,'Broader Categories'!$A$1:$B$28,2,FALSE)</f>
        <v>Food</v>
      </c>
      <c r="C66" t="s">
        <v>12</v>
      </c>
      <c r="D66">
        <v>102.7</v>
      </c>
      <c r="E66">
        <v>102.8</v>
      </c>
      <c r="F66">
        <v>103</v>
      </c>
      <c r="G66">
        <v>103.3</v>
      </c>
      <c r="H66">
        <v>104.3</v>
      </c>
      <c r="I66">
        <v>105.7</v>
      </c>
      <c r="J66">
        <v>106.8</v>
      </c>
      <c r="K66">
        <v>107.4</v>
      </c>
      <c r="L66">
        <v>108.3</v>
      </c>
      <c r="M66">
        <v>108.7</v>
      </c>
      <c r="N66">
        <v>109.4</v>
      </c>
      <c r="O66">
        <v>110.5</v>
      </c>
      <c r="P66">
        <v>111</v>
      </c>
      <c r="Q66">
        <v>111.4</v>
      </c>
      <c r="R66">
        <v>111.8</v>
      </c>
      <c r="S66">
        <v>112.6</v>
      </c>
      <c r="T66">
        <v>113.4</v>
      </c>
      <c r="U66">
        <v>114.3</v>
      </c>
      <c r="V66">
        <v>115.5</v>
      </c>
      <c r="W66">
        <v>117.1</v>
      </c>
      <c r="X66">
        <v>117.6</v>
      </c>
      <c r="Y66">
        <v>118.1</v>
      </c>
      <c r="Z66">
        <v>118.7</v>
      </c>
      <c r="AA66">
        <v>119.1</v>
      </c>
      <c r="AB66">
        <v>120.3</v>
      </c>
      <c r="AC66">
        <v>121.6</v>
      </c>
      <c r="AD66">
        <v>122.1</v>
      </c>
      <c r="AE66">
        <v>122.4</v>
      </c>
      <c r="AF66">
        <v>123.4</v>
      </c>
      <c r="AG66">
        <v>125.5</v>
      </c>
      <c r="AH66">
        <v>126.1</v>
      </c>
      <c r="AI66">
        <v>126.8</v>
      </c>
      <c r="AJ66">
        <v>128.4</v>
      </c>
      <c r="AK66">
        <v>129.69999999999999</v>
      </c>
      <c r="AL66">
        <v>131.19999999999999</v>
      </c>
      <c r="AM66">
        <v>132.1</v>
      </c>
      <c r="AN66">
        <v>132.9</v>
      </c>
      <c r="AO66">
        <v>133.6</v>
      </c>
      <c r="AP66">
        <v>133.9</v>
      </c>
      <c r="AQ66">
        <v>134.4</v>
      </c>
      <c r="AR66">
        <v>135.30000000000001</v>
      </c>
      <c r="AS66">
        <v>136.30000000000001</v>
      </c>
      <c r="AT66">
        <v>137.5</v>
      </c>
      <c r="AU66">
        <v>138.1</v>
      </c>
      <c r="AV66">
        <v>138.80000000000001</v>
      </c>
      <c r="AW66">
        <v>139.30000000000001</v>
      </c>
      <c r="AX66">
        <v>139.69999999999999</v>
      </c>
      <c r="AY66">
        <v>140.19999999999999</v>
      </c>
      <c r="AZ66">
        <v>139.6</v>
      </c>
      <c r="BA66">
        <v>138.69999999999999</v>
      </c>
      <c r="BB66">
        <v>137.9</v>
      </c>
      <c r="BC66">
        <v>136.5</v>
      </c>
      <c r="BD66">
        <v>136</v>
      </c>
      <c r="BE66">
        <v>135.30000000000001</v>
      </c>
      <c r="BF66">
        <v>135.19999999999999</v>
      </c>
      <c r="BG66">
        <v>135.6</v>
      </c>
      <c r="BH66">
        <v>135.6</v>
      </c>
      <c r="BI66">
        <v>136.30000000000001</v>
      </c>
      <c r="BJ66">
        <v>136.80000000000001</v>
      </c>
      <c r="BK66">
        <v>137.1</v>
      </c>
      <c r="BL66">
        <v>137.5</v>
      </c>
      <c r="BM66">
        <v>137.30000000000001</v>
      </c>
      <c r="BN66">
        <v>137.80000000000001</v>
      </c>
      <c r="BO66">
        <v>138.19999999999999</v>
      </c>
      <c r="BP66">
        <v>138.1</v>
      </c>
      <c r="BQ66">
        <v>138.4</v>
      </c>
      <c r="BR66">
        <v>138.9</v>
      </c>
      <c r="BS66">
        <v>139.4</v>
      </c>
      <c r="BT66">
        <v>139.5</v>
      </c>
      <c r="BU66">
        <v>141</v>
      </c>
      <c r="BV66">
        <v>140.9</v>
      </c>
      <c r="BW66">
        <v>140.6</v>
      </c>
      <c r="BX66">
        <v>139.4</v>
      </c>
      <c r="BY66">
        <v>139.69999999999999</v>
      </c>
      <c r="BZ66">
        <v>139.5</v>
      </c>
      <c r="CA66">
        <v>139.9</v>
      </c>
      <c r="CB66">
        <v>140.6</v>
      </c>
      <c r="CC66">
        <v>141.69999999999999</v>
      </c>
      <c r="CD66">
        <v>142.6</v>
      </c>
      <c r="CE66">
        <v>144.1</v>
      </c>
      <c r="CF66">
        <v>145.4</v>
      </c>
      <c r="CG66">
        <v>147</v>
      </c>
      <c r="CH66">
        <v>148.69999999999999</v>
      </c>
      <c r="CI66">
        <v>150.9</v>
      </c>
      <c r="CJ66">
        <v>152</v>
      </c>
      <c r="CK66">
        <v>153.19999999999999</v>
      </c>
      <c r="CL66">
        <v>157.1</v>
      </c>
      <c r="CM66" t="s">
        <v>43</v>
      </c>
      <c r="CN66">
        <v>159.5</v>
      </c>
      <c r="CO66">
        <v>159.5</v>
      </c>
      <c r="CP66">
        <v>160</v>
      </c>
      <c r="CQ66">
        <v>160.30000000000001</v>
      </c>
      <c r="CR66">
        <v>161</v>
      </c>
      <c r="CS66">
        <v>161.80000000000001</v>
      </c>
      <c r="CT66">
        <v>163</v>
      </c>
      <c r="CU66">
        <v>164</v>
      </c>
      <c r="CV66">
        <v>164.2</v>
      </c>
      <c r="CW66">
        <v>163.5</v>
      </c>
      <c r="CX66">
        <v>163.9</v>
      </c>
      <c r="CY66">
        <v>168.2</v>
      </c>
      <c r="CZ66">
        <v>168.5</v>
      </c>
      <c r="DA66">
        <v>168.3</v>
      </c>
      <c r="DB66">
        <v>168.8</v>
      </c>
      <c r="DC66">
        <v>168.8</v>
      </c>
      <c r="DD66">
        <v>169.3</v>
      </c>
      <c r="DE66">
        <v>169.6</v>
      </c>
      <c r="DF66">
        <v>170.5</v>
      </c>
      <c r="DG66">
        <v>172.1</v>
      </c>
      <c r="DH66">
        <v>174.3</v>
      </c>
      <c r="DI66">
        <v>177.4</v>
      </c>
      <c r="DJ66">
        <v>181.3</v>
      </c>
      <c r="DK66">
        <v>184.9</v>
      </c>
      <c r="DL66">
        <v>187.1</v>
      </c>
      <c r="DM66">
        <v>190</v>
      </c>
      <c r="DN66">
        <v>193.6</v>
      </c>
      <c r="DO66">
        <v>197.3</v>
      </c>
      <c r="DP66">
        <v>199.9</v>
      </c>
      <c r="DQ66">
        <v>202.8</v>
      </c>
      <c r="DR66">
        <v>205.2</v>
      </c>
      <c r="DS66">
        <v>208.4</v>
      </c>
      <c r="DT66">
        <v>209.7</v>
      </c>
      <c r="DU66">
        <v>209.7</v>
      </c>
      <c r="DV66">
        <v>212.9</v>
      </c>
      <c r="DW66">
        <v>218</v>
      </c>
    </row>
    <row r="67" spans="1:127" x14ac:dyDescent="0.3">
      <c r="A67" t="s">
        <v>37</v>
      </c>
      <c r="B67" t="str">
        <f>VLOOKUP(C67,'Broader Categories'!$A$1:$B$28,2,FALSE)</f>
        <v>Food</v>
      </c>
      <c r="C67" t="s">
        <v>13</v>
      </c>
      <c r="D67">
        <v>104.9</v>
      </c>
      <c r="E67">
        <v>105.5</v>
      </c>
      <c r="F67">
        <v>106.2</v>
      </c>
      <c r="G67">
        <v>107.2</v>
      </c>
      <c r="H67">
        <v>108.1</v>
      </c>
      <c r="I67">
        <v>109</v>
      </c>
      <c r="J67">
        <v>109.6</v>
      </c>
      <c r="K67">
        <v>110.2</v>
      </c>
      <c r="L67">
        <v>110.7</v>
      </c>
      <c r="M67">
        <v>111.2</v>
      </c>
      <c r="N67">
        <v>111.8</v>
      </c>
      <c r="O67">
        <v>112.1</v>
      </c>
      <c r="P67">
        <v>112.3</v>
      </c>
      <c r="Q67">
        <v>112.6</v>
      </c>
      <c r="R67">
        <v>112.7</v>
      </c>
      <c r="S67">
        <v>113.2</v>
      </c>
      <c r="T67">
        <v>113.7</v>
      </c>
      <c r="U67">
        <v>114.2</v>
      </c>
      <c r="V67">
        <v>114.8</v>
      </c>
      <c r="W67">
        <v>115.2</v>
      </c>
      <c r="X67">
        <v>115.8</v>
      </c>
      <c r="Y67">
        <v>116.1</v>
      </c>
      <c r="Z67">
        <v>116.4</v>
      </c>
      <c r="AA67">
        <v>116.8</v>
      </c>
      <c r="AB67">
        <v>117.3</v>
      </c>
      <c r="AC67">
        <v>118</v>
      </c>
      <c r="AD67">
        <v>118.1</v>
      </c>
      <c r="AE67">
        <v>118.5</v>
      </c>
      <c r="AF67">
        <v>119.2</v>
      </c>
      <c r="AG67">
        <v>119.8</v>
      </c>
      <c r="AH67">
        <v>119.9</v>
      </c>
      <c r="AI67">
        <v>120.4</v>
      </c>
      <c r="AJ67">
        <v>120.7</v>
      </c>
      <c r="AK67">
        <v>121.1</v>
      </c>
      <c r="AL67">
        <v>121.7</v>
      </c>
      <c r="AM67">
        <v>122</v>
      </c>
      <c r="AN67">
        <v>122.7</v>
      </c>
      <c r="AO67">
        <v>123</v>
      </c>
      <c r="AP67">
        <v>123.1</v>
      </c>
      <c r="AQ67">
        <v>123.6</v>
      </c>
      <c r="AR67">
        <v>124.2</v>
      </c>
      <c r="AS67">
        <v>124.4</v>
      </c>
      <c r="AT67">
        <v>125</v>
      </c>
      <c r="AU67">
        <v>125.5</v>
      </c>
      <c r="AV67">
        <v>126</v>
      </c>
      <c r="AW67">
        <v>126.1</v>
      </c>
      <c r="AX67">
        <v>126.2</v>
      </c>
      <c r="AY67">
        <v>126.6</v>
      </c>
      <c r="AZ67">
        <v>126.6</v>
      </c>
      <c r="BA67">
        <v>126.9</v>
      </c>
      <c r="BB67">
        <v>127.2</v>
      </c>
      <c r="BC67">
        <v>127.4</v>
      </c>
      <c r="BD67">
        <v>127.6</v>
      </c>
      <c r="BE67">
        <v>127.8</v>
      </c>
      <c r="BF67">
        <v>128.5</v>
      </c>
      <c r="BG67">
        <v>128.69999999999999</v>
      </c>
      <c r="BH67">
        <v>128.80000000000001</v>
      </c>
      <c r="BI67">
        <v>128.69999999999999</v>
      </c>
      <c r="BJ67">
        <v>129.19999999999999</v>
      </c>
      <c r="BK67">
        <v>128.80000000000001</v>
      </c>
      <c r="BL67">
        <v>129</v>
      </c>
      <c r="BM67">
        <v>128.6</v>
      </c>
      <c r="BN67">
        <v>129.1</v>
      </c>
      <c r="BO67">
        <v>129.6</v>
      </c>
      <c r="BP67">
        <v>129.9</v>
      </c>
      <c r="BQ67">
        <v>130.30000000000001</v>
      </c>
      <c r="BR67">
        <v>130.30000000000001</v>
      </c>
      <c r="BS67">
        <v>131.1</v>
      </c>
      <c r="BT67">
        <v>130.80000000000001</v>
      </c>
      <c r="BU67">
        <v>133.6</v>
      </c>
      <c r="BV67">
        <v>133.5</v>
      </c>
      <c r="BW67">
        <v>133.80000000000001</v>
      </c>
      <c r="BX67">
        <v>133.30000000000001</v>
      </c>
      <c r="BY67">
        <v>133.6</v>
      </c>
      <c r="BZ67">
        <v>133.69999999999999</v>
      </c>
      <c r="CA67">
        <v>134</v>
      </c>
      <c r="CB67">
        <v>134.19999999999999</v>
      </c>
      <c r="CC67">
        <v>134.69999999999999</v>
      </c>
      <c r="CD67">
        <v>134.9</v>
      </c>
      <c r="CE67">
        <v>135</v>
      </c>
      <c r="CF67">
        <v>135.1</v>
      </c>
      <c r="CG67">
        <v>135.30000000000001</v>
      </c>
      <c r="CH67">
        <v>135.80000000000001</v>
      </c>
      <c r="CI67">
        <v>136.1</v>
      </c>
      <c r="CJ67">
        <v>136.5</v>
      </c>
      <c r="CK67">
        <v>136.69999999999999</v>
      </c>
      <c r="CL67">
        <v>136.80000000000001</v>
      </c>
      <c r="CM67" t="s">
        <v>43</v>
      </c>
      <c r="CN67">
        <v>139.4</v>
      </c>
      <c r="CO67">
        <v>139.4</v>
      </c>
      <c r="CP67">
        <v>140.6</v>
      </c>
      <c r="CQ67">
        <v>142.19999999999999</v>
      </c>
      <c r="CR67">
        <v>144</v>
      </c>
      <c r="CS67">
        <v>146.5</v>
      </c>
      <c r="CT67">
        <v>149.19999999999999</v>
      </c>
      <c r="CU67">
        <v>151.80000000000001</v>
      </c>
      <c r="CV67">
        <v>155.5</v>
      </c>
      <c r="CW67">
        <v>156.5</v>
      </c>
      <c r="CX67">
        <v>157.6</v>
      </c>
      <c r="CY67">
        <v>159.30000000000001</v>
      </c>
      <c r="CZ67">
        <v>160</v>
      </c>
      <c r="DA67">
        <v>160.9</v>
      </c>
      <c r="DB67">
        <v>162.69999999999999</v>
      </c>
      <c r="DC67">
        <v>162.69999999999999</v>
      </c>
      <c r="DD67">
        <v>163.19999999999999</v>
      </c>
      <c r="DE67">
        <v>163.69999999999999</v>
      </c>
      <c r="DF67">
        <v>164.2</v>
      </c>
      <c r="DG67">
        <v>164.3</v>
      </c>
      <c r="DH67">
        <v>164.7</v>
      </c>
      <c r="DI67">
        <v>165.3</v>
      </c>
      <c r="DJ67">
        <v>166.2</v>
      </c>
      <c r="DK67">
        <v>167.1</v>
      </c>
      <c r="DL67">
        <v>167.9</v>
      </c>
      <c r="DM67">
        <v>168.4</v>
      </c>
      <c r="DN67">
        <v>168.8</v>
      </c>
      <c r="DO67">
        <v>169.4</v>
      </c>
      <c r="DP67">
        <v>169.9</v>
      </c>
      <c r="DQ67">
        <v>170.4</v>
      </c>
      <c r="DR67">
        <v>171</v>
      </c>
      <c r="DS67">
        <v>171.4</v>
      </c>
      <c r="DT67">
        <v>172.3</v>
      </c>
      <c r="DU67">
        <v>172.3</v>
      </c>
      <c r="DV67">
        <v>172.9</v>
      </c>
      <c r="DW67">
        <v>173.4</v>
      </c>
    </row>
    <row r="68" spans="1:127" x14ac:dyDescent="0.3">
      <c r="A68" t="s">
        <v>37</v>
      </c>
      <c r="B68" t="str">
        <f>VLOOKUP(C68,'Broader Categories'!$A$1:$B$28,2,FALSE)</f>
        <v>Food</v>
      </c>
      <c r="C68" t="s">
        <v>14</v>
      </c>
      <c r="D68">
        <v>107.3</v>
      </c>
      <c r="E68">
        <v>108.3</v>
      </c>
      <c r="F68">
        <v>108.9</v>
      </c>
      <c r="G68">
        <v>109.6</v>
      </c>
      <c r="H68">
        <v>110.5</v>
      </c>
      <c r="I68">
        <v>111.6</v>
      </c>
      <c r="J68">
        <v>112.6</v>
      </c>
      <c r="K68">
        <v>113.4</v>
      </c>
      <c r="L68">
        <v>114.6</v>
      </c>
      <c r="M68">
        <v>115.4</v>
      </c>
      <c r="N68">
        <v>116.5</v>
      </c>
      <c r="O68">
        <v>117.4</v>
      </c>
      <c r="P68">
        <v>118.1</v>
      </c>
      <c r="Q68">
        <v>118.8</v>
      </c>
      <c r="R68">
        <v>119.3</v>
      </c>
      <c r="S68">
        <v>119.8</v>
      </c>
      <c r="T68">
        <v>120.4</v>
      </c>
      <c r="U68">
        <v>121.2</v>
      </c>
      <c r="V68">
        <v>122.1</v>
      </c>
      <c r="W68">
        <v>123.1</v>
      </c>
      <c r="X68">
        <v>123.8</v>
      </c>
      <c r="Y68">
        <v>124.5</v>
      </c>
      <c r="Z68">
        <v>125.6</v>
      </c>
      <c r="AA68">
        <v>126.1</v>
      </c>
      <c r="AB68">
        <v>126.7</v>
      </c>
      <c r="AC68">
        <v>127.6</v>
      </c>
      <c r="AD68">
        <v>128.4</v>
      </c>
      <c r="AE68">
        <v>129.1</v>
      </c>
      <c r="AF68">
        <v>129.80000000000001</v>
      </c>
      <c r="AG68">
        <v>130.9</v>
      </c>
      <c r="AH68">
        <v>131.4</v>
      </c>
      <c r="AI68">
        <v>132.1</v>
      </c>
      <c r="AJ68">
        <v>132.5</v>
      </c>
      <c r="AK68">
        <v>133</v>
      </c>
      <c r="AL68">
        <v>134</v>
      </c>
      <c r="AM68">
        <v>134.69999999999999</v>
      </c>
      <c r="AN68">
        <v>135.30000000000001</v>
      </c>
      <c r="AO68">
        <v>135.80000000000001</v>
      </c>
      <c r="AP68">
        <v>136.30000000000001</v>
      </c>
      <c r="AQ68">
        <v>136.69999999999999</v>
      </c>
      <c r="AR68">
        <v>137.4</v>
      </c>
      <c r="AS68">
        <v>138.1</v>
      </c>
      <c r="AT68">
        <v>138.80000000000001</v>
      </c>
      <c r="AU68">
        <v>139.5</v>
      </c>
      <c r="AV68">
        <v>140.19999999999999</v>
      </c>
      <c r="AW68">
        <v>141.1</v>
      </c>
      <c r="AX68">
        <v>141.80000000000001</v>
      </c>
      <c r="AY68">
        <v>142.30000000000001</v>
      </c>
      <c r="AZ68">
        <v>142.80000000000001</v>
      </c>
      <c r="BA68">
        <v>143.19999999999999</v>
      </c>
      <c r="BB68">
        <v>144</v>
      </c>
      <c r="BC68">
        <v>144.19999999999999</v>
      </c>
      <c r="BD68">
        <v>144.5</v>
      </c>
      <c r="BE68">
        <v>144.9</v>
      </c>
      <c r="BF68">
        <v>145.80000000000001</v>
      </c>
      <c r="BG68">
        <v>146.80000000000001</v>
      </c>
      <c r="BH68">
        <v>147.30000000000001</v>
      </c>
      <c r="BI68">
        <v>148.1</v>
      </c>
      <c r="BJ68">
        <v>148.9</v>
      </c>
      <c r="BK68">
        <v>149</v>
      </c>
      <c r="BL68">
        <v>149.5</v>
      </c>
      <c r="BM68">
        <v>149.6</v>
      </c>
      <c r="BN68">
        <v>150.4</v>
      </c>
      <c r="BO68">
        <v>151.19999999999999</v>
      </c>
      <c r="BP68">
        <v>151.69999999999999</v>
      </c>
      <c r="BQ68">
        <v>151.80000000000001</v>
      </c>
      <c r="BR68">
        <v>152.30000000000001</v>
      </c>
      <c r="BS68">
        <v>153</v>
      </c>
      <c r="BT68">
        <v>153.80000000000001</v>
      </c>
      <c r="BU68">
        <v>154.5</v>
      </c>
      <c r="BV68">
        <v>154.5</v>
      </c>
      <c r="BW68">
        <v>154.6</v>
      </c>
      <c r="BX68">
        <v>154.6</v>
      </c>
      <c r="BY68">
        <v>154.9</v>
      </c>
      <c r="BZ68">
        <v>155.19999999999999</v>
      </c>
      <c r="CA68">
        <v>155.5</v>
      </c>
      <c r="CB68">
        <v>155.9</v>
      </c>
      <c r="CC68">
        <v>156.19999999999999</v>
      </c>
      <c r="CD68">
        <v>156.6</v>
      </c>
      <c r="CE68">
        <v>156.80000000000001</v>
      </c>
      <c r="CF68">
        <v>157.1</v>
      </c>
      <c r="CG68">
        <v>157.5</v>
      </c>
      <c r="CH68">
        <v>158</v>
      </c>
      <c r="CI68">
        <v>158.6</v>
      </c>
      <c r="CJ68">
        <v>159.1</v>
      </c>
      <c r="CK68">
        <v>159.6</v>
      </c>
      <c r="CL68" t="s">
        <v>43</v>
      </c>
      <c r="CM68" t="s">
        <v>43</v>
      </c>
      <c r="CN68">
        <v>161.80000000000001</v>
      </c>
      <c r="CO68">
        <v>161.80000000000001</v>
      </c>
      <c r="CP68">
        <v>162.30000000000001</v>
      </c>
      <c r="CQ68">
        <v>162.9</v>
      </c>
      <c r="CR68">
        <v>163.19999999999999</v>
      </c>
      <c r="CS68">
        <v>163.80000000000001</v>
      </c>
      <c r="CT68">
        <v>164.8</v>
      </c>
      <c r="CU68">
        <v>165.6</v>
      </c>
      <c r="CV68">
        <v>167.5</v>
      </c>
      <c r="CW68">
        <v>168.2</v>
      </c>
      <c r="CX68">
        <v>168.9</v>
      </c>
      <c r="CY68">
        <v>170.4</v>
      </c>
      <c r="CZ68">
        <v>172.4</v>
      </c>
      <c r="DA68">
        <v>172.2</v>
      </c>
      <c r="DB68">
        <v>173.9</v>
      </c>
      <c r="DC68">
        <v>173.9</v>
      </c>
      <c r="DD68">
        <v>174.7</v>
      </c>
      <c r="DE68">
        <v>175.5</v>
      </c>
      <c r="DF68">
        <v>176.5</v>
      </c>
      <c r="DG68">
        <v>177.3</v>
      </c>
      <c r="DH68">
        <v>178</v>
      </c>
      <c r="DI68">
        <v>179.3</v>
      </c>
      <c r="DJ68">
        <v>180.9</v>
      </c>
      <c r="DK68">
        <v>182.5</v>
      </c>
      <c r="DL68">
        <v>183.9</v>
      </c>
      <c r="DM68">
        <v>185.2</v>
      </c>
      <c r="DN68">
        <v>186.3</v>
      </c>
      <c r="DO68">
        <v>187.4</v>
      </c>
      <c r="DP68">
        <v>188.3</v>
      </c>
      <c r="DQ68">
        <v>189.5</v>
      </c>
      <c r="DR68">
        <v>190.3</v>
      </c>
      <c r="DS68">
        <v>191.2</v>
      </c>
      <c r="DT68">
        <v>193</v>
      </c>
      <c r="DU68">
        <v>193</v>
      </c>
      <c r="DV68">
        <v>193.5</v>
      </c>
      <c r="DW68">
        <v>194.2</v>
      </c>
    </row>
    <row r="69" spans="1:127" x14ac:dyDescent="0.3">
      <c r="A69" t="s">
        <v>37</v>
      </c>
      <c r="B69" t="str">
        <f>VLOOKUP(C69,'Broader Categories'!$A$1:$B$28,2,FALSE)</f>
        <v>Food</v>
      </c>
      <c r="C69" t="s">
        <v>15</v>
      </c>
      <c r="D69">
        <v>105.6</v>
      </c>
      <c r="E69">
        <v>106.6</v>
      </c>
      <c r="F69">
        <v>106.9</v>
      </c>
      <c r="G69">
        <v>107.7</v>
      </c>
      <c r="H69">
        <v>109.2</v>
      </c>
      <c r="I69">
        <v>112.2</v>
      </c>
      <c r="J69">
        <v>114.7</v>
      </c>
      <c r="K69">
        <v>116.6</v>
      </c>
      <c r="L69">
        <v>118.3</v>
      </c>
      <c r="M69">
        <v>120.2</v>
      </c>
      <c r="N69">
        <v>122.6</v>
      </c>
      <c r="O69">
        <v>118.4</v>
      </c>
      <c r="P69">
        <v>115.8</v>
      </c>
      <c r="Q69">
        <v>115.3</v>
      </c>
      <c r="R69">
        <v>116.1</v>
      </c>
      <c r="S69">
        <v>117.6</v>
      </c>
      <c r="T69">
        <v>118.9</v>
      </c>
      <c r="U69">
        <v>120.4</v>
      </c>
      <c r="V69">
        <v>124.7</v>
      </c>
      <c r="W69">
        <v>126.6</v>
      </c>
      <c r="X69">
        <v>125.8</v>
      </c>
      <c r="Y69">
        <v>125.4</v>
      </c>
      <c r="Z69">
        <v>125.1</v>
      </c>
      <c r="AA69">
        <v>123.6</v>
      </c>
      <c r="AB69">
        <v>123.1</v>
      </c>
      <c r="AC69">
        <v>123.1</v>
      </c>
      <c r="AD69">
        <v>123.4</v>
      </c>
      <c r="AE69">
        <v>124</v>
      </c>
      <c r="AF69">
        <v>125</v>
      </c>
      <c r="AG69">
        <v>127.3</v>
      </c>
      <c r="AH69">
        <v>128.19999999999999</v>
      </c>
      <c r="AI69">
        <v>130.30000000000001</v>
      </c>
      <c r="AJ69">
        <v>131.19999999999999</v>
      </c>
      <c r="AK69">
        <v>132.1</v>
      </c>
      <c r="AL69">
        <v>132.69999999999999</v>
      </c>
      <c r="AM69">
        <v>131.4</v>
      </c>
      <c r="AN69">
        <v>131.30000000000001</v>
      </c>
      <c r="AO69">
        <v>129.9</v>
      </c>
      <c r="AP69">
        <v>129.80000000000001</v>
      </c>
      <c r="AQ69">
        <v>131.80000000000001</v>
      </c>
      <c r="AR69">
        <v>134</v>
      </c>
      <c r="AS69">
        <v>136.80000000000001</v>
      </c>
      <c r="AT69">
        <v>138.4</v>
      </c>
      <c r="AU69">
        <v>137.9</v>
      </c>
      <c r="AV69">
        <v>136.6</v>
      </c>
      <c r="AW69">
        <v>137</v>
      </c>
      <c r="AX69">
        <v>136.1</v>
      </c>
      <c r="AY69">
        <v>134</v>
      </c>
      <c r="AZ69">
        <v>133.1</v>
      </c>
      <c r="BA69">
        <v>133</v>
      </c>
      <c r="BB69">
        <v>133.1</v>
      </c>
      <c r="BC69">
        <v>133.5</v>
      </c>
      <c r="BD69">
        <v>133.69999999999999</v>
      </c>
      <c r="BE69">
        <v>135.19999999999999</v>
      </c>
      <c r="BF69">
        <v>139</v>
      </c>
      <c r="BG69">
        <v>140.6</v>
      </c>
      <c r="BH69">
        <v>139</v>
      </c>
      <c r="BI69">
        <v>140.1</v>
      </c>
      <c r="BJ69">
        <v>142.1</v>
      </c>
      <c r="BK69">
        <v>140.5</v>
      </c>
      <c r="BL69">
        <v>139.19999999999999</v>
      </c>
      <c r="BM69">
        <v>137.6</v>
      </c>
      <c r="BN69">
        <v>137.19999999999999</v>
      </c>
      <c r="BO69">
        <v>137.5</v>
      </c>
      <c r="BP69">
        <v>138.1</v>
      </c>
      <c r="BQ69">
        <v>139.4</v>
      </c>
      <c r="BR69">
        <v>141.4</v>
      </c>
      <c r="BS69">
        <v>141.69999999999999</v>
      </c>
      <c r="BT69">
        <v>140.4</v>
      </c>
      <c r="BU69">
        <v>139.69999999999999</v>
      </c>
      <c r="BV69">
        <v>139.69999999999999</v>
      </c>
      <c r="BW69">
        <v>138.19999999999999</v>
      </c>
      <c r="BX69">
        <v>137.4</v>
      </c>
      <c r="BY69">
        <v>137.5</v>
      </c>
      <c r="BZ69">
        <v>138.1</v>
      </c>
      <c r="CA69">
        <v>140.9</v>
      </c>
      <c r="CB69">
        <v>142.69999999999999</v>
      </c>
      <c r="CC69">
        <v>144.69999999999999</v>
      </c>
      <c r="CD69">
        <v>145.9</v>
      </c>
      <c r="CE69">
        <v>147</v>
      </c>
      <c r="CF69">
        <v>149.6</v>
      </c>
      <c r="CG69">
        <v>151.9</v>
      </c>
      <c r="CH69">
        <v>155</v>
      </c>
      <c r="CI69">
        <v>153.5</v>
      </c>
      <c r="CJ69">
        <v>150.5</v>
      </c>
      <c r="CK69">
        <v>148.9</v>
      </c>
      <c r="CL69">
        <v>151.4</v>
      </c>
      <c r="CM69" t="s">
        <v>43</v>
      </c>
      <c r="CN69">
        <v>154</v>
      </c>
      <c r="CO69">
        <v>154</v>
      </c>
      <c r="CP69">
        <v>157</v>
      </c>
      <c r="CQ69">
        <v>158</v>
      </c>
      <c r="CR69">
        <v>161.4</v>
      </c>
      <c r="CS69">
        <v>164.7</v>
      </c>
      <c r="CT69">
        <v>165.4</v>
      </c>
      <c r="CU69">
        <v>161</v>
      </c>
      <c r="CV69">
        <v>156.9</v>
      </c>
      <c r="CW69">
        <v>156.69999999999999</v>
      </c>
      <c r="CX69">
        <v>158</v>
      </c>
      <c r="CY69">
        <v>160.69999999999999</v>
      </c>
      <c r="CZ69">
        <v>162.6</v>
      </c>
      <c r="DA69">
        <v>164</v>
      </c>
      <c r="DB69">
        <v>164</v>
      </c>
      <c r="DC69">
        <v>164</v>
      </c>
      <c r="DD69">
        <v>167.7</v>
      </c>
      <c r="DE69">
        <v>169.7</v>
      </c>
      <c r="DF69">
        <v>168.2</v>
      </c>
      <c r="DG69">
        <v>166.4</v>
      </c>
      <c r="DH69">
        <v>166.2</v>
      </c>
      <c r="DI69">
        <v>168.4</v>
      </c>
      <c r="DJ69">
        <v>170.8</v>
      </c>
      <c r="DK69">
        <v>173.3</v>
      </c>
      <c r="DL69">
        <v>174.9</v>
      </c>
      <c r="DM69">
        <v>175</v>
      </c>
      <c r="DN69">
        <v>176.3</v>
      </c>
      <c r="DO69">
        <v>177.8</v>
      </c>
      <c r="DP69">
        <v>179.6</v>
      </c>
      <c r="DQ69">
        <v>178.3</v>
      </c>
      <c r="DR69">
        <v>175.9</v>
      </c>
      <c r="DS69">
        <v>176.7</v>
      </c>
      <c r="DT69">
        <v>177</v>
      </c>
      <c r="DU69">
        <v>177</v>
      </c>
      <c r="DV69">
        <v>177.9</v>
      </c>
      <c r="DW69">
        <v>179.1</v>
      </c>
    </row>
    <row r="70" spans="1:127" x14ac:dyDescent="0.3">
      <c r="A70" t="s">
        <v>37</v>
      </c>
      <c r="B70" t="str">
        <f>VLOOKUP(C70,'Broader Categories'!$A$1:$B$28,2,FALSE)</f>
        <v>Food</v>
      </c>
      <c r="C70" t="s">
        <v>16</v>
      </c>
      <c r="D70">
        <v>105.1</v>
      </c>
      <c r="E70">
        <v>105.7</v>
      </c>
      <c r="F70">
        <v>106.6</v>
      </c>
      <c r="G70">
        <v>107.5</v>
      </c>
      <c r="H70">
        <v>108.6</v>
      </c>
      <c r="I70">
        <v>109.5</v>
      </c>
      <c r="J70">
        <v>110.3</v>
      </c>
      <c r="K70">
        <v>111.2</v>
      </c>
      <c r="L70">
        <v>112</v>
      </c>
      <c r="M70">
        <v>112.5</v>
      </c>
      <c r="N70">
        <v>113.1</v>
      </c>
      <c r="O70">
        <v>114</v>
      </c>
      <c r="P70">
        <v>114.5</v>
      </c>
      <c r="Q70">
        <v>114.7</v>
      </c>
      <c r="R70">
        <v>115.2</v>
      </c>
      <c r="S70">
        <v>116</v>
      </c>
      <c r="T70">
        <v>116.8</v>
      </c>
      <c r="U70">
        <v>117.8</v>
      </c>
      <c r="V70">
        <v>118.8</v>
      </c>
      <c r="W70">
        <v>119.9</v>
      </c>
      <c r="X70">
        <v>120.8</v>
      </c>
      <c r="Y70">
        <v>121.1</v>
      </c>
      <c r="Z70">
        <v>122.1</v>
      </c>
      <c r="AA70">
        <v>123</v>
      </c>
      <c r="AB70">
        <v>124</v>
      </c>
      <c r="AC70">
        <v>125.2</v>
      </c>
      <c r="AD70">
        <v>125.8</v>
      </c>
      <c r="AE70">
        <v>126.9</v>
      </c>
      <c r="AF70">
        <v>127.9</v>
      </c>
      <c r="AG70">
        <v>129.19999999999999</v>
      </c>
      <c r="AH70">
        <v>130.4</v>
      </c>
      <c r="AI70">
        <v>131.19999999999999</v>
      </c>
      <c r="AJ70">
        <v>132</v>
      </c>
      <c r="AK70">
        <v>132.5</v>
      </c>
      <c r="AL70">
        <v>133.6</v>
      </c>
      <c r="AM70">
        <v>134.5</v>
      </c>
      <c r="AN70">
        <v>135.19999999999999</v>
      </c>
      <c r="AO70">
        <v>135.9</v>
      </c>
      <c r="AP70">
        <v>136.5</v>
      </c>
      <c r="AQ70">
        <v>137.1</v>
      </c>
      <c r="AR70">
        <v>137.69999999999999</v>
      </c>
      <c r="AS70">
        <v>138.69999999999999</v>
      </c>
      <c r="AT70">
        <v>139.30000000000001</v>
      </c>
      <c r="AU70">
        <v>140.19999999999999</v>
      </c>
      <c r="AV70">
        <v>141</v>
      </c>
      <c r="AW70">
        <v>141.80000000000001</v>
      </c>
      <c r="AX70">
        <v>142</v>
      </c>
      <c r="AY70">
        <v>143.1</v>
      </c>
      <c r="AZ70">
        <v>143.80000000000001</v>
      </c>
      <c r="BA70">
        <v>144.4</v>
      </c>
      <c r="BB70">
        <v>145.1</v>
      </c>
      <c r="BC70">
        <v>145.4</v>
      </c>
      <c r="BD70">
        <v>146.19999999999999</v>
      </c>
      <c r="BE70">
        <v>146.5</v>
      </c>
      <c r="BF70">
        <v>148.19999999999999</v>
      </c>
      <c r="BG70">
        <v>149.80000000000001</v>
      </c>
      <c r="BH70">
        <v>150.80000000000001</v>
      </c>
      <c r="BI70">
        <v>151.6</v>
      </c>
      <c r="BJ70">
        <v>153.19999999999999</v>
      </c>
      <c r="BK70">
        <v>154.19999999999999</v>
      </c>
      <c r="BL70">
        <v>154.69999999999999</v>
      </c>
      <c r="BM70">
        <v>154.9</v>
      </c>
      <c r="BN70">
        <v>156.30000000000001</v>
      </c>
      <c r="BO70">
        <v>156.9</v>
      </c>
      <c r="BP70">
        <v>157.9</v>
      </c>
      <c r="BQ70">
        <v>158.30000000000001</v>
      </c>
      <c r="BR70">
        <v>157.5</v>
      </c>
      <c r="BS70">
        <v>157.9</v>
      </c>
      <c r="BT70">
        <v>159.19999999999999</v>
      </c>
      <c r="BU70">
        <v>162.6</v>
      </c>
      <c r="BV70">
        <v>162.6</v>
      </c>
      <c r="BW70">
        <v>163</v>
      </c>
      <c r="BX70">
        <v>163.19999999999999</v>
      </c>
      <c r="BY70">
        <v>163.4</v>
      </c>
      <c r="BZ70">
        <v>163.5</v>
      </c>
      <c r="CA70">
        <v>164.1</v>
      </c>
      <c r="CB70">
        <v>164.9</v>
      </c>
      <c r="CC70">
        <v>165.2</v>
      </c>
      <c r="CD70">
        <v>165.8</v>
      </c>
      <c r="CE70">
        <v>166.5</v>
      </c>
      <c r="CF70">
        <v>167.1</v>
      </c>
      <c r="CG70">
        <v>167.9</v>
      </c>
      <c r="CH70">
        <v>168.5</v>
      </c>
      <c r="CI70">
        <v>169.2</v>
      </c>
      <c r="CJ70">
        <v>170.1</v>
      </c>
      <c r="CK70">
        <v>171.2</v>
      </c>
      <c r="CL70" t="s">
        <v>43</v>
      </c>
      <c r="CM70" t="s">
        <v>43</v>
      </c>
      <c r="CN70">
        <v>183.5</v>
      </c>
      <c r="CO70">
        <v>183.5</v>
      </c>
      <c r="CP70">
        <v>182.6</v>
      </c>
      <c r="CQ70">
        <v>184.4</v>
      </c>
      <c r="CR70">
        <v>184.3</v>
      </c>
      <c r="CS70">
        <v>184.8</v>
      </c>
      <c r="CT70">
        <v>185.4</v>
      </c>
      <c r="CU70">
        <v>186.5</v>
      </c>
      <c r="CV70">
        <v>188.3</v>
      </c>
      <c r="CW70">
        <v>188.1</v>
      </c>
      <c r="CX70">
        <v>188.8</v>
      </c>
      <c r="CY70">
        <v>191.9</v>
      </c>
      <c r="CZ70">
        <v>190.8</v>
      </c>
      <c r="DA70">
        <v>191.2</v>
      </c>
      <c r="DB70">
        <v>192.1</v>
      </c>
      <c r="DC70">
        <v>192.1</v>
      </c>
      <c r="DD70">
        <v>192.7</v>
      </c>
      <c r="DE70">
        <v>192.9</v>
      </c>
      <c r="DF70">
        <v>192.4</v>
      </c>
      <c r="DG70">
        <v>192.2</v>
      </c>
      <c r="DH70">
        <v>192.8</v>
      </c>
      <c r="DI70">
        <v>193.7</v>
      </c>
      <c r="DJ70">
        <v>193.9</v>
      </c>
      <c r="DK70">
        <v>194.1</v>
      </c>
      <c r="DL70">
        <v>194.3</v>
      </c>
      <c r="DM70">
        <v>194.6</v>
      </c>
      <c r="DN70">
        <v>195</v>
      </c>
      <c r="DO70">
        <v>195.9</v>
      </c>
      <c r="DP70">
        <v>196.3</v>
      </c>
      <c r="DQ70">
        <v>196.9</v>
      </c>
      <c r="DR70">
        <v>197.3</v>
      </c>
      <c r="DS70">
        <v>198.2</v>
      </c>
      <c r="DT70">
        <v>199.5</v>
      </c>
      <c r="DU70">
        <v>199.5</v>
      </c>
      <c r="DV70">
        <v>200.6</v>
      </c>
      <c r="DW70">
        <v>201</v>
      </c>
    </row>
    <row r="71" spans="1:127" x14ac:dyDescent="0.3">
      <c r="A71" t="s">
        <v>37</v>
      </c>
      <c r="B71" t="str">
        <f>VLOOKUP(C71,'Broader Categories'!$A$1:$B$28,2,FALSE)</f>
        <v>Apparels</v>
      </c>
      <c r="C71" t="s">
        <v>18</v>
      </c>
      <c r="D71">
        <v>106.3</v>
      </c>
      <c r="E71">
        <v>106.9</v>
      </c>
      <c r="F71">
        <v>107.4</v>
      </c>
      <c r="G71">
        <v>108</v>
      </c>
      <c r="H71">
        <v>108.7</v>
      </c>
      <c r="I71">
        <v>109.5</v>
      </c>
      <c r="J71">
        <v>110.2</v>
      </c>
      <c r="K71">
        <v>111</v>
      </c>
      <c r="L71">
        <v>112.2</v>
      </c>
      <c r="M71">
        <v>113.2</v>
      </c>
      <c r="N71">
        <v>114.2</v>
      </c>
      <c r="O71">
        <v>115.2</v>
      </c>
      <c r="P71">
        <v>115.8</v>
      </c>
      <c r="Q71">
        <v>116.4</v>
      </c>
      <c r="R71">
        <v>116.8</v>
      </c>
      <c r="S71">
        <v>117.4</v>
      </c>
      <c r="T71">
        <v>118</v>
      </c>
      <c r="U71">
        <v>118.8</v>
      </c>
      <c r="V71">
        <v>119.6</v>
      </c>
      <c r="W71">
        <v>120</v>
      </c>
      <c r="X71">
        <v>120.7</v>
      </c>
      <c r="Y71">
        <v>121.5</v>
      </c>
      <c r="Z71">
        <v>122.1</v>
      </c>
      <c r="AA71">
        <v>122.6</v>
      </c>
      <c r="AB71">
        <v>123.1</v>
      </c>
      <c r="AC71">
        <v>123.8</v>
      </c>
      <c r="AD71">
        <v>124.3</v>
      </c>
      <c r="AE71">
        <v>124.7</v>
      </c>
      <c r="AF71">
        <v>125.4</v>
      </c>
      <c r="AG71">
        <v>126.4</v>
      </c>
      <c r="AH71">
        <v>126.7</v>
      </c>
      <c r="AI71">
        <v>127.2</v>
      </c>
      <c r="AJ71">
        <v>127.9</v>
      </c>
      <c r="AK71">
        <v>128.5</v>
      </c>
      <c r="AL71">
        <v>129.30000000000001</v>
      </c>
      <c r="AM71">
        <v>129.69999999999999</v>
      </c>
      <c r="AN71">
        <v>130.30000000000001</v>
      </c>
      <c r="AO71">
        <v>130.9</v>
      </c>
      <c r="AP71">
        <v>131.30000000000001</v>
      </c>
      <c r="AQ71">
        <v>131.80000000000001</v>
      </c>
      <c r="AR71">
        <v>132.19999999999999</v>
      </c>
      <c r="AS71">
        <v>132.9</v>
      </c>
      <c r="AT71">
        <v>133.5</v>
      </c>
      <c r="AU71">
        <v>134.1</v>
      </c>
      <c r="AV71">
        <v>134.6</v>
      </c>
      <c r="AW71">
        <v>135.5</v>
      </c>
      <c r="AX71">
        <v>135.80000000000001</v>
      </c>
      <c r="AY71">
        <v>136.30000000000001</v>
      </c>
      <c r="AZ71">
        <v>136.6</v>
      </c>
      <c r="BA71">
        <v>136.80000000000001</v>
      </c>
      <c r="BB71">
        <v>137.30000000000001</v>
      </c>
      <c r="BC71">
        <v>138</v>
      </c>
      <c r="BD71">
        <v>138.19999999999999</v>
      </c>
      <c r="BE71">
        <v>138.5</v>
      </c>
      <c r="BF71">
        <v>139.30000000000001</v>
      </c>
      <c r="BG71">
        <v>140.30000000000001</v>
      </c>
      <c r="BH71">
        <v>141.1</v>
      </c>
      <c r="BI71">
        <v>142</v>
      </c>
      <c r="BJ71">
        <v>143</v>
      </c>
      <c r="BK71">
        <v>143.1</v>
      </c>
      <c r="BL71">
        <v>143.5</v>
      </c>
      <c r="BM71">
        <v>143.80000000000001</v>
      </c>
      <c r="BN71">
        <v>144.30000000000001</v>
      </c>
      <c r="BO71">
        <v>145.30000000000001</v>
      </c>
      <c r="BP71">
        <v>146</v>
      </c>
      <c r="BQ71">
        <v>146.4</v>
      </c>
      <c r="BR71">
        <v>146.80000000000001</v>
      </c>
      <c r="BS71">
        <v>147.30000000000001</v>
      </c>
      <c r="BT71">
        <v>147.69999999999999</v>
      </c>
      <c r="BU71">
        <v>148</v>
      </c>
      <c r="BV71">
        <v>148</v>
      </c>
      <c r="BW71">
        <v>148.1</v>
      </c>
      <c r="BX71">
        <v>147.6</v>
      </c>
      <c r="BY71">
        <v>147.69999999999999</v>
      </c>
      <c r="BZ71">
        <v>147.9</v>
      </c>
      <c r="CA71">
        <v>148.4</v>
      </c>
      <c r="CB71">
        <v>148.6</v>
      </c>
      <c r="CC71">
        <v>148.9</v>
      </c>
      <c r="CD71">
        <v>149.1</v>
      </c>
      <c r="CE71">
        <v>149.19999999999999</v>
      </c>
      <c r="CF71">
        <v>149.4</v>
      </c>
      <c r="CG71">
        <v>149.9</v>
      </c>
      <c r="CH71">
        <v>150.30000000000001</v>
      </c>
      <c r="CI71">
        <v>150.5</v>
      </c>
      <c r="CJ71">
        <v>150.80000000000001</v>
      </c>
      <c r="CK71">
        <v>151.19999999999999</v>
      </c>
      <c r="CL71" t="s">
        <v>43</v>
      </c>
      <c r="CM71" t="s">
        <v>43</v>
      </c>
      <c r="CN71">
        <v>152.5</v>
      </c>
      <c r="CO71">
        <v>152.5</v>
      </c>
      <c r="CP71">
        <v>153.1</v>
      </c>
      <c r="CQ71">
        <v>153.4</v>
      </c>
      <c r="CR71">
        <v>153.69999999999999</v>
      </c>
      <c r="CS71">
        <v>154.30000000000001</v>
      </c>
      <c r="CT71">
        <v>155</v>
      </c>
      <c r="CU71">
        <v>155.5</v>
      </c>
      <c r="CV71">
        <v>157.19999999999999</v>
      </c>
      <c r="CW71">
        <v>157.80000000000001</v>
      </c>
      <c r="CX71">
        <v>158.80000000000001</v>
      </c>
      <c r="CY71">
        <v>161.80000000000001</v>
      </c>
      <c r="CZ71">
        <v>162.19999999999999</v>
      </c>
      <c r="DA71">
        <v>162.80000000000001</v>
      </c>
      <c r="DB71">
        <v>164.5</v>
      </c>
      <c r="DC71">
        <v>164.6</v>
      </c>
      <c r="DD71">
        <v>165.7</v>
      </c>
      <c r="DE71">
        <v>167.2</v>
      </c>
      <c r="DF71">
        <v>168.5</v>
      </c>
      <c r="DG71">
        <v>169.9</v>
      </c>
      <c r="DH71">
        <v>170.8</v>
      </c>
      <c r="DI71">
        <v>172.1</v>
      </c>
      <c r="DJ71">
        <v>173.9</v>
      </c>
      <c r="DK71">
        <v>175.6</v>
      </c>
      <c r="DL71">
        <v>177.1</v>
      </c>
      <c r="DM71">
        <v>178.3</v>
      </c>
      <c r="DN71">
        <v>179.5</v>
      </c>
      <c r="DO71">
        <v>180.9</v>
      </c>
      <c r="DP71">
        <v>181.9</v>
      </c>
      <c r="DQ71">
        <v>183.1</v>
      </c>
      <c r="DR71">
        <v>184</v>
      </c>
      <c r="DS71">
        <v>184.9</v>
      </c>
      <c r="DT71">
        <v>186.2</v>
      </c>
      <c r="DU71">
        <v>186.1</v>
      </c>
      <c r="DV71">
        <v>186.9</v>
      </c>
      <c r="DW71">
        <v>187.3</v>
      </c>
    </row>
    <row r="72" spans="1:127" x14ac:dyDescent="0.3">
      <c r="A72" t="s">
        <v>37</v>
      </c>
      <c r="B72" t="str">
        <f>VLOOKUP(C72,'Broader Categories'!$A$1:$B$28,2,FALSE)</f>
        <v>Apparels</v>
      </c>
      <c r="C72" t="s">
        <v>19</v>
      </c>
      <c r="D72">
        <v>105.5</v>
      </c>
      <c r="E72">
        <v>106</v>
      </c>
      <c r="F72">
        <v>106.5</v>
      </c>
      <c r="G72">
        <v>107</v>
      </c>
      <c r="H72">
        <v>107.4</v>
      </c>
      <c r="I72">
        <v>108.1</v>
      </c>
      <c r="J72">
        <v>108.8</v>
      </c>
      <c r="K72">
        <v>109.4</v>
      </c>
      <c r="L72">
        <v>110.4</v>
      </c>
      <c r="M72">
        <v>111.2</v>
      </c>
      <c r="N72">
        <v>111.9</v>
      </c>
      <c r="O72">
        <v>112.7</v>
      </c>
      <c r="P72">
        <v>113.2</v>
      </c>
      <c r="Q72">
        <v>113.3</v>
      </c>
      <c r="R72">
        <v>113.7</v>
      </c>
      <c r="S72">
        <v>114.6</v>
      </c>
      <c r="T72">
        <v>115.2</v>
      </c>
      <c r="U72">
        <v>115.6</v>
      </c>
      <c r="V72">
        <v>116.3</v>
      </c>
      <c r="W72">
        <v>116.8</v>
      </c>
      <c r="X72">
        <v>117.2</v>
      </c>
      <c r="Y72">
        <v>118.1</v>
      </c>
      <c r="Z72">
        <v>118.4</v>
      </c>
      <c r="AA72">
        <v>118.6</v>
      </c>
      <c r="AB72">
        <v>119.3</v>
      </c>
      <c r="AC72">
        <v>120.1</v>
      </c>
      <c r="AD72">
        <v>120.4</v>
      </c>
      <c r="AE72">
        <v>120.8</v>
      </c>
      <c r="AF72">
        <v>121.3</v>
      </c>
      <c r="AG72">
        <v>122</v>
      </c>
      <c r="AH72">
        <v>122.3</v>
      </c>
      <c r="AI72">
        <v>122.9</v>
      </c>
      <c r="AJ72">
        <v>123.4</v>
      </c>
      <c r="AK72">
        <v>123.8</v>
      </c>
      <c r="AL72">
        <v>124.5</v>
      </c>
      <c r="AM72">
        <v>124.8</v>
      </c>
      <c r="AN72">
        <v>125.1</v>
      </c>
      <c r="AO72">
        <v>125.8</v>
      </c>
      <c r="AP72">
        <v>126.1</v>
      </c>
      <c r="AQ72">
        <v>126.4</v>
      </c>
      <c r="AR72">
        <v>126.8</v>
      </c>
      <c r="AS72">
        <v>127.2</v>
      </c>
      <c r="AT72">
        <v>127.6</v>
      </c>
      <c r="AU72">
        <v>128.19999999999999</v>
      </c>
      <c r="AV72">
        <v>128.6</v>
      </c>
      <c r="AW72">
        <v>129.1</v>
      </c>
      <c r="AX72">
        <v>129.30000000000001</v>
      </c>
      <c r="AY72">
        <v>129.80000000000001</v>
      </c>
      <c r="AZ72">
        <v>130.19999999999999</v>
      </c>
      <c r="BA72">
        <v>130.30000000000001</v>
      </c>
      <c r="BB72">
        <v>130.6</v>
      </c>
      <c r="BC72">
        <v>131.1</v>
      </c>
      <c r="BD72">
        <v>131.4</v>
      </c>
      <c r="BE72">
        <v>131.69999999999999</v>
      </c>
      <c r="BF72">
        <v>132.1</v>
      </c>
      <c r="BG72">
        <v>133</v>
      </c>
      <c r="BH72">
        <v>133.4</v>
      </c>
      <c r="BI72">
        <v>134.1</v>
      </c>
      <c r="BJ72">
        <v>134.80000000000001</v>
      </c>
      <c r="BK72">
        <v>135.1</v>
      </c>
      <c r="BL72">
        <v>135.5</v>
      </c>
      <c r="BM72">
        <v>135.6</v>
      </c>
      <c r="BN72">
        <v>136.19999999999999</v>
      </c>
      <c r="BO72">
        <v>136.69999999999999</v>
      </c>
      <c r="BP72">
        <v>137.4</v>
      </c>
      <c r="BQ72">
        <v>138.1</v>
      </c>
      <c r="BR72">
        <v>138.4</v>
      </c>
      <c r="BS72">
        <v>138.80000000000001</v>
      </c>
      <c r="BT72">
        <v>139.1</v>
      </c>
      <c r="BU72">
        <v>139.19999999999999</v>
      </c>
      <c r="BV72">
        <v>139.1</v>
      </c>
      <c r="BW72">
        <v>139.4</v>
      </c>
      <c r="BX72">
        <v>139</v>
      </c>
      <c r="BY72">
        <v>139.69999999999999</v>
      </c>
      <c r="BZ72">
        <v>139.9</v>
      </c>
      <c r="CA72">
        <v>140.4</v>
      </c>
      <c r="CB72">
        <v>140.4</v>
      </c>
      <c r="CC72">
        <v>140.5</v>
      </c>
      <c r="CD72">
        <v>140.6</v>
      </c>
      <c r="CE72">
        <v>140.6</v>
      </c>
      <c r="CF72">
        <v>140.80000000000001</v>
      </c>
      <c r="CG72">
        <v>141</v>
      </c>
      <c r="CH72">
        <v>141.30000000000001</v>
      </c>
      <c r="CI72">
        <v>141.5</v>
      </c>
      <c r="CJ72">
        <v>141.69999999999999</v>
      </c>
      <c r="CK72">
        <v>141.9</v>
      </c>
      <c r="CL72" t="s">
        <v>43</v>
      </c>
      <c r="CM72" t="s">
        <v>43</v>
      </c>
      <c r="CN72">
        <v>144.4</v>
      </c>
      <c r="CO72">
        <v>144.4</v>
      </c>
      <c r="CP72">
        <v>143.4</v>
      </c>
      <c r="CQ72">
        <v>144.30000000000001</v>
      </c>
      <c r="CR72">
        <v>144.6</v>
      </c>
      <c r="CS72">
        <v>144.9</v>
      </c>
      <c r="CT72">
        <v>145.4</v>
      </c>
      <c r="CU72">
        <v>146.1</v>
      </c>
      <c r="CV72">
        <v>147.4</v>
      </c>
      <c r="CW72">
        <v>147.9</v>
      </c>
      <c r="CX72">
        <v>148.5</v>
      </c>
      <c r="CY72">
        <v>152.1</v>
      </c>
      <c r="CZ72">
        <v>151.80000000000001</v>
      </c>
      <c r="DA72">
        <v>153.1</v>
      </c>
      <c r="DB72">
        <v>155.30000000000001</v>
      </c>
      <c r="DC72">
        <v>155.30000000000001</v>
      </c>
      <c r="DD72">
        <v>156.30000000000001</v>
      </c>
      <c r="DE72">
        <v>157.4</v>
      </c>
      <c r="DF72">
        <v>158.69999999999999</v>
      </c>
      <c r="DG72">
        <v>160.69999999999999</v>
      </c>
      <c r="DH72">
        <v>162.4</v>
      </c>
      <c r="DI72">
        <v>164.6</v>
      </c>
      <c r="DJ72">
        <v>166.5</v>
      </c>
      <c r="DK72">
        <v>168.4</v>
      </c>
      <c r="DL72">
        <v>169.9</v>
      </c>
      <c r="DM72">
        <v>171.3</v>
      </c>
      <c r="DN72">
        <v>172.7</v>
      </c>
      <c r="DO72">
        <v>174.3</v>
      </c>
      <c r="DP72">
        <v>175.3</v>
      </c>
      <c r="DQ72">
        <v>176.2</v>
      </c>
      <c r="DR72">
        <v>177</v>
      </c>
      <c r="DS72">
        <v>177.6</v>
      </c>
      <c r="DT72">
        <v>178.7</v>
      </c>
      <c r="DU72">
        <v>178.7</v>
      </c>
      <c r="DV72">
        <v>179.2</v>
      </c>
      <c r="DW72">
        <v>179.7</v>
      </c>
    </row>
    <row r="73" spans="1:127" x14ac:dyDescent="0.3">
      <c r="A73" t="s">
        <v>37</v>
      </c>
      <c r="B73" t="str">
        <f>VLOOKUP(C73,'Broader Categories'!$A$1:$B$28,2,FALSE)</f>
        <v>Apparels</v>
      </c>
      <c r="C73" t="s">
        <v>20</v>
      </c>
      <c r="D73">
        <v>106.2</v>
      </c>
      <c r="E73">
        <v>106.8</v>
      </c>
      <c r="F73">
        <v>107.3</v>
      </c>
      <c r="G73">
        <v>107.9</v>
      </c>
      <c r="H73">
        <v>108.5</v>
      </c>
      <c r="I73">
        <v>109.3</v>
      </c>
      <c r="J73">
        <v>110</v>
      </c>
      <c r="K73">
        <v>110.7</v>
      </c>
      <c r="L73">
        <v>111.9</v>
      </c>
      <c r="M73">
        <v>112.8</v>
      </c>
      <c r="N73">
        <v>113.8</v>
      </c>
      <c r="O73">
        <v>114.8</v>
      </c>
      <c r="P73">
        <v>115.4</v>
      </c>
      <c r="Q73">
        <v>115.9</v>
      </c>
      <c r="R73">
        <v>116.4</v>
      </c>
      <c r="S73">
        <v>117</v>
      </c>
      <c r="T73">
        <v>117.6</v>
      </c>
      <c r="U73">
        <v>118.3</v>
      </c>
      <c r="V73">
        <v>119.1</v>
      </c>
      <c r="W73">
        <v>119.6</v>
      </c>
      <c r="X73">
        <v>120.1</v>
      </c>
      <c r="Y73">
        <v>121</v>
      </c>
      <c r="Z73">
        <v>121.6</v>
      </c>
      <c r="AA73">
        <v>122</v>
      </c>
      <c r="AB73">
        <v>122.5</v>
      </c>
      <c r="AC73">
        <v>123.3</v>
      </c>
      <c r="AD73">
        <v>123.7</v>
      </c>
      <c r="AE73">
        <v>124.1</v>
      </c>
      <c r="AF73">
        <v>124.7</v>
      </c>
      <c r="AG73">
        <v>125.7</v>
      </c>
      <c r="AH73">
        <v>126.1</v>
      </c>
      <c r="AI73">
        <v>126.6</v>
      </c>
      <c r="AJ73">
        <v>127.2</v>
      </c>
      <c r="AK73">
        <v>127.8</v>
      </c>
      <c r="AL73">
        <v>128.6</v>
      </c>
      <c r="AM73">
        <v>129</v>
      </c>
      <c r="AN73">
        <v>129.5</v>
      </c>
      <c r="AO73">
        <v>130.19999999999999</v>
      </c>
      <c r="AP73">
        <v>130.5</v>
      </c>
      <c r="AQ73">
        <v>131</v>
      </c>
      <c r="AR73">
        <v>131.4</v>
      </c>
      <c r="AS73">
        <v>132</v>
      </c>
      <c r="AT73">
        <v>132.69999999999999</v>
      </c>
      <c r="AU73">
        <v>133.19999999999999</v>
      </c>
      <c r="AV73">
        <v>133.80000000000001</v>
      </c>
      <c r="AW73">
        <v>134.5</v>
      </c>
      <c r="AX73">
        <v>135</v>
      </c>
      <c r="AY73">
        <v>135.4</v>
      </c>
      <c r="AZ73">
        <v>135.6</v>
      </c>
      <c r="BA73">
        <v>135.9</v>
      </c>
      <c r="BB73">
        <v>136.4</v>
      </c>
      <c r="BC73">
        <v>137</v>
      </c>
      <c r="BD73">
        <v>137.19999999999999</v>
      </c>
      <c r="BE73">
        <v>137.5</v>
      </c>
      <c r="BF73">
        <v>138.30000000000001</v>
      </c>
      <c r="BG73">
        <v>139.30000000000001</v>
      </c>
      <c r="BH73">
        <v>140</v>
      </c>
      <c r="BI73">
        <v>140.80000000000001</v>
      </c>
      <c r="BJ73">
        <v>141.80000000000001</v>
      </c>
      <c r="BK73">
        <v>142</v>
      </c>
      <c r="BL73">
        <v>142.30000000000001</v>
      </c>
      <c r="BM73">
        <v>142.6</v>
      </c>
      <c r="BN73">
        <v>143.1</v>
      </c>
      <c r="BO73">
        <v>144</v>
      </c>
      <c r="BP73">
        <v>144.69999999999999</v>
      </c>
      <c r="BQ73">
        <v>145.19999999999999</v>
      </c>
      <c r="BR73">
        <v>145.6</v>
      </c>
      <c r="BS73">
        <v>146.1</v>
      </c>
      <c r="BT73">
        <v>146.5</v>
      </c>
      <c r="BU73">
        <v>146.80000000000001</v>
      </c>
      <c r="BV73">
        <v>146.69999999999999</v>
      </c>
      <c r="BW73">
        <v>146.80000000000001</v>
      </c>
      <c r="BX73">
        <v>146.4</v>
      </c>
      <c r="BY73">
        <v>146.5</v>
      </c>
      <c r="BZ73">
        <v>146.69999999999999</v>
      </c>
      <c r="CA73">
        <v>147.30000000000001</v>
      </c>
      <c r="CB73">
        <v>147.4</v>
      </c>
      <c r="CC73">
        <v>147.6</v>
      </c>
      <c r="CD73">
        <v>147.9</v>
      </c>
      <c r="CE73">
        <v>147.9</v>
      </c>
      <c r="CF73">
        <v>148.19999999999999</v>
      </c>
      <c r="CG73">
        <v>148.6</v>
      </c>
      <c r="CH73">
        <v>149</v>
      </c>
      <c r="CI73">
        <v>149.19999999999999</v>
      </c>
      <c r="CJ73">
        <v>149.5</v>
      </c>
      <c r="CK73">
        <v>149.80000000000001</v>
      </c>
      <c r="CL73" t="s">
        <v>43</v>
      </c>
      <c r="CM73" t="s">
        <v>43</v>
      </c>
      <c r="CN73">
        <v>151.4</v>
      </c>
      <c r="CO73">
        <v>151.4</v>
      </c>
      <c r="CP73">
        <v>151.69999999999999</v>
      </c>
      <c r="CQ73">
        <v>152</v>
      </c>
      <c r="CR73">
        <v>152.30000000000001</v>
      </c>
      <c r="CS73">
        <v>152.80000000000001</v>
      </c>
      <c r="CT73">
        <v>153.6</v>
      </c>
      <c r="CU73">
        <v>154.19999999999999</v>
      </c>
      <c r="CV73">
        <v>155.80000000000001</v>
      </c>
      <c r="CW73">
        <v>156.4</v>
      </c>
      <c r="CX73">
        <v>157.30000000000001</v>
      </c>
      <c r="CY73">
        <v>160.4</v>
      </c>
      <c r="CZ73">
        <v>160.69999999999999</v>
      </c>
      <c r="DA73">
        <v>161.4</v>
      </c>
      <c r="DB73">
        <v>163.19999999999999</v>
      </c>
      <c r="DC73">
        <v>163.30000000000001</v>
      </c>
      <c r="DD73">
        <v>164.3</v>
      </c>
      <c r="DE73">
        <v>165.8</v>
      </c>
      <c r="DF73">
        <v>167</v>
      </c>
      <c r="DG73">
        <v>168.5</v>
      </c>
      <c r="DH73">
        <v>169.6</v>
      </c>
      <c r="DI73">
        <v>171.1</v>
      </c>
      <c r="DJ73">
        <v>172.8</v>
      </c>
      <c r="DK73">
        <v>174.6</v>
      </c>
      <c r="DL73">
        <v>176</v>
      </c>
      <c r="DM73">
        <v>177.3</v>
      </c>
      <c r="DN73">
        <v>178.5</v>
      </c>
      <c r="DO73">
        <v>179.9</v>
      </c>
      <c r="DP73">
        <v>181</v>
      </c>
      <c r="DQ73">
        <v>182.1</v>
      </c>
      <c r="DR73">
        <v>183</v>
      </c>
      <c r="DS73">
        <v>183.8</v>
      </c>
      <c r="DT73">
        <v>185.1</v>
      </c>
      <c r="DU73">
        <v>185.1</v>
      </c>
      <c r="DV73">
        <v>185.7</v>
      </c>
      <c r="DW73">
        <v>186.2</v>
      </c>
    </row>
    <row r="74" spans="1:127" x14ac:dyDescent="0.3">
      <c r="A74" t="s">
        <v>37</v>
      </c>
      <c r="B74" t="str">
        <f>VLOOKUP(C74,'Broader Categories'!$A$1:$B$28,2,FALSE)</f>
        <v>Home</v>
      </c>
      <c r="C74" t="s">
        <v>22</v>
      </c>
      <c r="D74">
        <v>100.3</v>
      </c>
      <c r="E74">
        <v>100.4</v>
      </c>
      <c r="F74">
        <v>100.4</v>
      </c>
      <c r="G74">
        <v>100.5</v>
      </c>
      <c r="H74">
        <v>100.5</v>
      </c>
      <c r="I74">
        <v>106.6</v>
      </c>
      <c r="J74">
        <v>107.7</v>
      </c>
      <c r="K74">
        <v>108.9</v>
      </c>
      <c r="L74">
        <v>109.7</v>
      </c>
      <c r="M74">
        <v>110.5</v>
      </c>
      <c r="N74">
        <v>111.1</v>
      </c>
      <c r="O74">
        <v>110.7</v>
      </c>
      <c r="P74">
        <v>111.6</v>
      </c>
      <c r="Q74">
        <v>112.5</v>
      </c>
      <c r="R74">
        <v>113.2</v>
      </c>
      <c r="S74">
        <v>113.9</v>
      </c>
      <c r="T74">
        <v>114.3</v>
      </c>
      <c r="U74">
        <v>113.9</v>
      </c>
      <c r="V74">
        <v>114.8</v>
      </c>
      <c r="W74">
        <v>115.5</v>
      </c>
      <c r="X74">
        <v>116.1</v>
      </c>
      <c r="Y74">
        <v>116.7</v>
      </c>
      <c r="Z74">
        <v>117.1</v>
      </c>
      <c r="AA74">
        <v>116.5</v>
      </c>
      <c r="AB74">
        <v>117.3</v>
      </c>
      <c r="AC74">
        <v>118.1</v>
      </c>
      <c r="AD74">
        <v>118.6</v>
      </c>
      <c r="AE74">
        <v>119.2</v>
      </c>
      <c r="AF74">
        <v>119.6</v>
      </c>
      <c r="AG74">
        <v>119</v>
      </c>
      <c r="AH74">
        <v>119.9</v>
      </c>
      <c r="AI74">
        <v>120.9</v>
      </c>
      <c r="AJ74">
        <v>121.6</v>
      </c>
      <c r="AK74">
        <v>122.4</v>
      </c>
      <c r="AL74">
        <v>122.9</v>
      </c>
      <c r="AM74">
        <v>122.4</v>
      </c>
      <c r="AN74">
        <v>123.4</v>
      </c>
      <c r="AO74">
        <v>124.4</v>
      </c>
      <c r="AP74">
        <v>124.9</v>
      </c>
      <c r="AQ74">
        <v>125.6</v>
      </c>
      <c r="AR74">
        <v>126</v>
      </c>
      <c r="AS74">
        <v>125.5</v>
      </c>
      <c r="AT74">
        <v>126.4</v>
      </c>
      <c r="AU74">
        <v>127.3</v>
      </c>
      <c r="AV74">
        <v>127.9</v>
      </c>
      <c r="AW74">
        <v>128.69999999999999</v>
      </c>
      <c r="AX74">
        <v>129.1</v>
      </c>
      <c r="AY74">
        <v>128.5</v>
      </c>
      <c r="AZ74">
        <v>129.6</v>
      </c>
      <c r="BA74">
        <v>130.5</v>
      </c>
      <c r="BB74">
        <v>131.1</v>
      </c>
      <c r="BC74">
        <v>131.69999999999999</v>
      </c>
      <c r="BD74">
        <v>132.1</v>
      </c>
      <c r="BE74">
        <v>131.4</v>
      </c>
      <c r="BF74">
        <v>132.6</v>
      </c>
      <c r="BG74">
        <v>134.4</v>
      </c>
      <c r="BH74">
        <v>135.69999999999999</v>
      </c>
      <c r="BI74">
        <v>137.30000000000001</v>
      </c>
      <c r="BJ74">
        <v>138.6</v>
      </c>
      <c r="BK74">
        <v>139.1</v>
      </c>
      <c r="BL74">
        <v>140.4</v>
      </c>
      <c r="BM74">
        <v>141.30000000000001</v>
      </c>
      <c r="BN74">
        <v>142</v>
      </c>
      <c r="BO74">
        <v>142.9</v>
      </c>
      <c r="BP74">
        <v>143.19999999999999</v>
      </c>
      <c r="BQ74">
        <v>142.5</v>
      </c>
      <c r="BR74">
        <v>143.6</v>
      </c>
      <c r="BS74">
        <v>144.6</v>
      </c>
      <c r="BT74">
        <v>145.30000000000001</v>
      </c>
      <c r="BU74">
        <v>146.9</v>
      </c>
      <c r="BV74">
        <v>146.9</v>
      </c>
      <c r="BW74">
        <v>146.5</v>
      </c>
      <c r="BX74">
        <v>147.69999999999999</v>
      </c>
      <c r="BY74">
        <v>148.5</v>
      </c>
      <c r="BZ74">
        <v>149</v>
      </c>
      <c r="CA74">
        <v>150.1</v>
      </c>
      <c r="CB74">
        <v>149.4</v>
      </c>
      <c r="CC74">
        <v>150.6</v>
      </c>
      <c r="CD74">
        <v>151.6</v>
      </c>
      <c r="CE74">
        <v>152.19999999999999</v>
      </c>
      <c r="CF74">
        <v>153</v>
      </c>
      <c r="CG74">
        <v>153.5</v>
      </c>
      <c r="CH74">
        <v>152.80000000000001</v>
      </c>
      <c r="CI74">
        <v>153.9</v>
      </c>
      <c r="CJ74">
        <v>154.80000000000001</v>
      </c>
      <c r="CK74">
        <v>154.5</v>
      </c>
      <c r="CL74">
        <v>155.6</v>
      </c>
      <c r="CM74" t="s">
        <v>43</v>
      </c>
      <c r="CN74">
        <v>154.69999999999999</v>
      </c>
      <c r="CO74">
        <v>154.69999999999999</v>
      </c>
      <c r="CP74">
        <v>155.5</v>
      </c>
      <c r="CQ74">
        <v>156.30000000000001</v>
      </c>
      <c r="CR74">
        <v>156.5</v>
      </c>
      <c r="CS74">
        <v>158</v>
      </c>
      <c r="CT74">
        <v>158.4</v>
      </c>
      <c r="CU74">
        <v>157.69999999999999</v>
      </c>
      <c r="CV74">
        <v>159.80000000000001</v>
      </c>
      <c r="CW74">
        <v>159.9</v>
      </c>
      <c r="CX74">
        <v>161.4</v>
      </c>
      <c r="CY74">
        <v>161.6</v>
      </c>
      <c r="CZ74">
        <v>160.5</v>
      </c>
      <c r="DA74">
        <v>161.5</v>
      </c>
      <c r="DB74">
        <v>162.1</v>
      </c>
      <c r="DC74">
        <v>162.1</v>
      </c>
      <c r="DD74">
        <v>163.6</v>
      </c>
      <c r="DE74">
        <v>164.2</v>
      </c>
      <c r="DF74">
        <v>163.4</v>
      </c>
      <c r="DG74">
        <v>164.5</v>
      </c>
      <c r="DH74">
        <v>165.5</v>
      </c>
      <c r="DI74">
        <v>165.3</v>
      </c>
      <c r="DJ74">
        <v>167</v>
      </c>
      <c r="DK74">
        <v>167.5</v>
      </c>
      <c r="DL74">
        <v>166.8</v>
      </c>
      <c r="DM74">
        <v>167.8</v>
      </c>
      <c r="DN74">
        <v>169</v>
      </c>
      <c r="DO74">
        <v>169.5</v>
      </c>
      <c r="DP74">
        <v>171.2</v>
      </c>
      <c r="DQ74">
        <v>171.8</v>
      </c>
      <c r="DR74">
        <v>170.7</v>
      </c>
      <c r="DS74">
        <v>172.1</v>
      </c>
      <c r="DT74">
        <v>173.5</v>
      </c>
      <c r="DU74">
        <v>173.5</v>
      </c>
      <c r="DV74">
        <v>175.2</v>
      </c>
      <c r="DW74">
        <v>175.6</v>
      </c>
    </row>
    <row r="75" spans="1:127" x14ac:dyDescent="0.3">
      <c r="A75" t="s">
        <v>37</v>
      </c>
      <c r="B75" t="str">
        <f>VLOOKUP(C75,'Broader Categories'!$A$1:$B$28,2,FALSE)</f>
        <v>Home</v>
      </c>
      <c r="C75" t="s">
        <v>23</v>
      </c>
      <c r="D75">
        <v>105.5</v>
      </c>
      <c r="E75">
        <v>106</v>
      </c>
      <c r="F75">
        <v>106.1</v>
      </c>
      <c r="G75">
        <v>106.5</v>
      </c>
      <c r="H75">
        <v>107.4</v>
      </c>
      <c r="I75">
        <v>108.3</v>
      </c>
      <c r="J75">
        <v>109.2</v>
      </c>
      <c r="K75">
        <v>109.7</v>
      </c>
      <c r="L75">
        <v>110.5</v>
      </c>
      <c r="M75">
        <v>110.9</v>
      </c>
      <c r="N75">
        <v>111.6</v>
      </c>
      <c r="O75">
        <v>111.9</v>
      </c>
      <c r="P75">
        <v>112.2</v>
      </c>
      <c r="Q75">
        <v>112.4</v>
      </c>
      <c r="R75">
        <v>112.5</v>
      </c>
      <c r="S75">
        <v>112.5</v>
      </c>
      <c r="T75">
        <v>112.5</v>
      </c>
      <c r="U75">
        <v>113.2</v>
      </c>
      <c r="V75">
        <v>113.9</v>
      </c>
      <c r="W75">
        <v>114</v>
      </c>
      <c r="X75">
        <v>114.3</v>
      </c>
      <c r="Y75">
        <v>114.7</v>
      </c>
      <c r="Z75">
        <v>115.5</v>
      </c>
      <c r="AA75">
        <v>115.7</v>
      </c>
      <c r="AB75">
        <v>116.5</v>
      </c>
      <c r="AC75">
        <v>117.7</v>
      </c>
      <c r="AD75">
        <v>118.3</v>
      </c>
      <c r="AE75">
        <v>118.7</v>
      </c>
      <c r="AF75">
        <v>119.2</v>
      </c>
      <c r="AG75">
        <v>119.8</v>
      </c>
      <c r="AH75">
        <v>120.1</v>
      </c>
      <c r="AI75">
        <v>120.6</v>
      </c>
      <c r="AJ75">
        <v>120.4</v>
      </c>
      <c r="AK75">
        <v>120.8</v>
      </c>
      <c r="AL75">
        <v>121.6</v>
      </c>
      <c r="AM75">
        <v>122</v>
      </c>
      <c r="AN75">
        <v>122.7</v>
      </c>
      <c r="AO75">
        <v>123.1</v>
      </c>
      <c r="AP75">
        <v>122.4</v>
      </c>
      <c r="AQ75">
        <v>122.3</v>
      </c>
      <c r="AR75">
        <v>122.7</v>
      </c>
      <c r="AS75">
        <v>123.3</v>
      </c>
      <c r="AT75">
        <v>123.4</v>
      </c>
      <c r="AU75">
        <v>123.6</v>
      </c>
      <c r="AV75">
        <v>124.1</v>
      </c>
      <c r="AW75">
        <v>124.3</v>
      </c>
      <c r="AX75">
        <v>125</v>
      </c>
      <c r="AY75">
        <v>126.6</v>
      </c>
      <c r="AZ75">
        <v>126.8</v>
      </c>
      <c r="BA75">
        <v>127.9</v>
      </c>
      <c r="BB75">
        <v>129.1</v>
      </c>
      <c r="BC75">
        <v>129.80000000000001</v>
      </c>
      <c r="BD75">
        <v>129.4</v>
      </c>
      <c r="BE75">
        <v>128.80000000000001</v>
      </c>
      <c r="BF75">
        <v>129.4</v>
      </c>
      <c r="BG75">
        <v>129.80000000000001</v>
      </c>
      <c r="BH75">
        <v>131</v>
      </c>
      <c r="BI75">
        <v>132.19999999999999</v>
      </c>
      <c r="BJ75">
        <v>135.30000000000001</v>
      </c>
      <c r="BK75">
        <v>136.6</v>
      </c>
      <c r="BL75">
        <v>136.6</v>
      </c>
      <c r="BM75">
        <v>136.69999999999999</v>
      </c>
      <c r="BN75">
        <v>136.5</v>
      </c>
      <c r="BO75">
        <v>136.5</v>
      </c>
      <c r="BP75">
        <v>136.9</v>
      </c>
      <c r="BQ75">
        <v>138.1</v>
      </c>
      <c r="BR75">
        <v>139.69999999999999</v>
      </c>
      <c r="BS75">
        <v>140.9</v>
      </c>
      <c r="BT75">
        <v>142.30000000000001</v>
      </c>
      <c r="BU75">
        <v>145.30000000000001</v>
      </c>
      <c r="BV75">
        <v>145.1</v>
      </c>
      <c r="BW75">
        <v>142.69999999999999</v>
      </c>
      <c r="BX75">
        <v>139.5</v>
      </c>
      <c r="BY75">
        <v>138.4</v>
      </c>
      <c r="BZ75">
        <v>139.69999999999999</v>
      </c>
      <c r="CA75">
        <v>140.30000000000001</v>
      </c>
      <c r="CB75">
        <v>141.19999999999999</v>
      </c>
      <c r="CC75">
        <v>139.30000000000001</v>
      </c>
      <c r="CD75">
        <v>138.5</v>
      </c>
      <c r="CE75">
        <v>139.19999999999999</v>
      </c>
      <c r="CF75">
        <v>140.6</v>
      </c>
      <c r="CG75">
        <v>142.30000000000001</v>
      </c>
      <c r="CH75">
        <v>143.69999999999999</v>
      </c>
      <c r="CI75">
        <v>144.6</v>
      </c>
      <c r="CJ75">
        <v>147.19999999999999</v>
      </c>
      <c r="CK75">
        <v>148.9</v>
      </c>
      <c r="CL75">
        <v>144.1</v>
      </c>
      <c r="CM75" t="s">
        <v>43</v>
      </c>
      <c r="CN75">
        <v>141.9</v>
      </c>
      <c r="CO75">
        <v>141.9</v>
      </c>
      <c r="CP75">
        <v>143</v>
      </c>
      <c r="CQ75">
        <v>142.9</v>
      </c>
      <c r="CR75">
        <v>143.1</v>
      </c>
      <c r="CS75">
        <v>143.6</v>
      </c>
      <c r="CT75">
        <v>144.6</v>
      </c>
      <c r="CU75">
        <v>147.9</v>
      </c>
      <c r="CV75">
        <v>152.4</v>
      </c>
      <c r="CW75">
        <v>155.5</v>
      </c>
      <c r="CX75">
        <v>155.6</v>
      </c>
      <c r="CY75">
        <v>159.4</v>
      </c>
      <c r="CZ75">
        <v>159.80000000000001</v>
      </c>
      <c r="DA75">
        <v>160.69999999999999</v>
      </c>
      <c r="DB75">
        <v>162.6</v>
      </c>
      <c r="DC75">
        <v>162.6</v>
      </c>
      <c r="DD75">
        <v>164.2</v>
      </c>
      <c r="DE75">
        <v>163.9</v>
      </c>
      <c r="DF75">
        <v>164.1</v>
      </c>
      <c r="DG75">
        <v>164.2</v>
      </c>
      <c r="DH75">
        <v>165.7</v>
      </c>
      <c r="DI75">
        <v>167.2</v>
      </c>
      <c r="DJ75">
        <v>172.2</v>
      </c>
      <c r="DK75">
        <v>174.6</v>
      </c>
      <c r="DL75">
        <v>176</v>
      </c>
      <c r="DM75">
        <v>179.6</v>
      </c>
      <c r="DN75">
        <v>178.8</v>
      </c>
      <c r="DO75">
        <v>179.5</v>
      </c>
      <c r="DP75">
        <v>180.5</v>
      </c>
      <c r="DQ75">
        <v>181.3</v>
      </c>
      <c r="DR75">
        <v>182</v>
      </c>
      <c r="DS75">
        <v>182</v>
      </c>
      <c r="DT75">
        <v>182.1</v>
      </c>
      <c r="DU75">
        <v>181.9</v>
      </c>
      <c r="DV75">
        <v>181.7</v>
      </c>
      <c r="DW75">
        <v>182.8</v>
      </c>
    </row>
    <row r="76" spans="1:127" x14ac:dyDescent="0.3">
      <c r="A76" t="s">
        <v>37</v>
      </c>
      <c r="B76" t="str">
        <f>VLOOKUP(C76,'Broader Categories'!$A$1:$B$28,2,FALSE)</f>
        <v>Home</v>
      </c>
      <c r="C76" t="s">
        <v>24</v>
      </c>
      <c r="D76">
        <v>104.8</v>
      </c>
      <c r="E76">
        <v>105.2</v>
      </c>
      <c r="F76">
        <v>105.6</v>
      </c>
      <c r="G76">
        <v>106.3</v>
      </c>
      <c r="H76">
        <v>106.9</v>
      </c>
      <c r="I76">
        <v>107.6</v>
      </c>
      <c r="J76">
        <v>108.2</v>
      </c>
      <c r="K76">
        <v>108.7</v>
      </c>
      <c r="L76">
        <v>109.6</v>
      </c>
      <c r="M76">
        <v>110.3</v>
      </c>
      <c r="N76">
        <v>111.1</v>
      </c>
      <c r="O76">
        <v>111.7</v>
      </c>
      <c r="P76">
        <v>112.3</v>
      </c>
      <c r="Q76">
        <v>112.8</v>
      </c>
      <c r="R76">
        <v>113.2</v>
      </c>
      <c r="S76">
        <v>113.6</v>
      </c>
      <c r="T76">
        <v>114.1</v>
      </c>
      <c r="U76">
        <v>114.6</v>
      </c>
      <c r="V76">
        <v>115.2</v>
      </c>
      <c r="W76">
        <v>115.6</v>
      </c>
      <c r="X76">
        <v>116.1</v>
      </c>
      <c r="Y76">
        <v>116.7</v>
      </c>
      <c r="Z76">
        <v>117.3</v>
      </c>
      <c r="AA76">
        <v>117.5</v>
      </c>
      <c r="AB76">
        <v>118.1</v>
      </c>
      <c r="AC76">
        <v>118.7</v>
      </c>
      <c r="AD76">
        <v>119.2</v>
      </c>
      <c r="AE76">
        <v>119.7</v>
      </c>
      <c r="AF76">
        <v>120.2</v>
      </c>
      <c r="AG76">
        <v>121.1</v>
      </c>
      <c r="AH76">
        <v>121.3</v>
      </c>
      <c r="AI76">
        <v>122</v>
      </c>
      <c r="AJ76">
        <v>122.6</v>
      </c>
      <c r="AK76">
        <v>123</v>
      </c>
      <c r="AL76">
        <v>123.4</v>
      </c>
      <c r="AM76">
        <v>123.6</v>
      </c>
      <c r="AN76">
        <v>124.2</v>
      </c>
      <c r="AO76">
        <v>124.6</v>
      </c>
      <c r="AP76">
        <v>125.1</v>
      </c>
      <c r="AQ76">
        <v>125.5</v>
      </c>
      <c r="AR76">
        <v>126</v>
      </c>
      <c r="AS76">
        <v>126.4</v>
      </c>
      <c r="AT76">
        <v>126.9</v>
      </c>
      <c r="AU76">
        <v>127.4</v>
      </c>
      <c r="AV76">
        <v>127.9</v>
      </c>
      <c r="AW76">
        <v>128.4</v>
      </c>
      <c r="AX76">
        <v>128.6</v>
      </c>
      <c r="AY76">
        <v>129.19999999999999</v>
      </c>
      <c r="AZ76">
        <v>129.4</v>
      </c>
      <c r="BA76">
        <v>129.69999999999999</v>
      </c>
      <c r="BB76">
        <v>130.1</v>
      </c>
      <c r="BC76">
        <v>130.4</v>
      </c>
      <c r="BD76">
        <v>130.9</v>
      </c>
      <c r="BE76">
        <v>131.19999999999999</v>
      </c>
      <c r="BF76">
        <v>131.9</v>
      </c>
      <c r="BG76">
        <v>132.80000000000001</v>
      </c>
      <c r="BH76">
        <v>133.30000000000001</v>
      </c>
      <c r="BI76">
        <v>133.6</v>
      </c>
      <c r="BJ76">
        <v>134.4</v>
      </c>
      <c r="BK76">
        <v>134.69999999999999</v>
      </c>
      <c r="BL76">
        <v>134.9</v>
      </c>
      <c r="BM76">
        <v>135.19999999999999</v>
      </c>
      <c r="BN76">
        <v>135.6</v>
      </c>
      <c r="BO76">
        <v>136.6</v>
      </c>
      <c r="BP76">
        <v>137.4</v>
      </c>
      <c r="BQ76">
        <v>137.9</v>
      </c>
      <c r="BR76">
        <v>138.6</v>
      </c>
      <c r="BS76">
        <v>139.4</v>
      </c>
      <c r="BT76">
        <v>139.69999999999999</v>
      </c>
      <c r="BU76">
        <v>142.19999999999999</v>
      </c>
      <c r="BV76">
        <v>142.19999999999999</v>
      </c>
      <c r="BW76">
        <v>143.19999999999999</v>
      </c>
      <c r="BX76">
        <v>143.6</v>
      </c>
      <c r="BY76">
        <v>143.69999999999999</v>
      </c>
      <c r="BZ76">
        <v>143.80000000000001</v>
      </c>
      <c r="CA76">
        <v>143.69999999999999</v>
      </c>
      <c r="CB76">
        <v>143.80000000000001</v>
      </c>
      <c r="CC76">
        <v>144.19999999999999</v>
      </c>
      <c r="CD76">
        <v>144.5</v>
      </c>
      <c r="CE76">
        <v>144.6</v>
      </c>
      <c r="CF76">
        <v>145</v>
      </c>
      <c r="CG76">
        <v>145.30000000000001</v>
      </c>
      <c r="CH76">
        <v>145.80000000000001</v>
      </c>
      <c r="CI76">
        <v>146.19999999999999</v>
      </c>
      <c r="CJ76">
        <v>146.4</v>
      </c>
      <c r="CK76">
        <v>146.4</v>
      </c>
      <c r="CL76" t="s">
        <v>43</v>
      </c>
      <c r="CM76" t="s">
        <v>43</v>
      </c>
      <c r="CN76">
        <v>146.4</v>
      </c>
      <c r="CO76">
        <v>146.4</v>
      </c>
      <c r="CP76">
        <v>148.4</v>
      </c>
      <c r="CQ76">
        <v>148.69999999999999</v>
      </c>
      <c r="CR76">
        <v>148.69999999999999</v>
      </c>
      <c r="CS76">
        <v>149.19999999999999</v>
      </c>
      <c r="CT76">
        <v>149.69999999999999</v>
      </c>
      <c r="CU76">
        <v>150</v>
      </c>
      <c r="CV76">
        <v>150.9</v>
      </c>
      <c r="CW76">
        <v>151.19999999999999</v>
      </c>
      <c r="CX76">
        <v>151.80000000000001</v>
      </c>
      <c r="CY76">
        <v>154.69999999999999</v>
      </c>
      <c r="CZ76">
        <v>154.80000000000001</v>
      </c>
      <c r="DA76">
        <v>155.80000000000001</v>
      </c>
      <c r="DB76">
        <v>157.5</v>
      </c>
      <c r="DC76">
        <v>157.5</v>
      </c>
      <c r="DD76">
        <v>158.4</v>
      </c>
      <c r="DE76">
        <v>159.30000000000001</v>
      </c>
      <c r="DF76">
        <v>160.19999999999999</v>
      </c>
      <c r="DG76">
        <v>161.1</v>
      </c>
      <c r="DH76">
        <v>161.80000000000001</v>
      </c>
      <c r="DI76">
        <v>162.80000000000001</v>
      </c>
      <c r="DJ76">
        <v>164</v>
      </c>
      <c r="DK76">
        <v>165.2</v>
      </c>
      <c r="DL76">
        <v>166.4</v>
      </c>
      <c r="DM76">
        <v>167.4</v>
      </c>
      <c r="DN76">
        <v>168.5</v>
      </c>
      <c r="DO76">
        <v>169.5</v>
      </c>
      <c r="DP76">
        <v>170.4</v>
      </c>
      <c r="DQ76">
        <v>171.4</v>
      </c>
      <c r="DR76">
        <v>172.1</v>
      </c>
      <c r="DS76">
        <v>172.9</v>
      </c>
      <c r="DT76">
        <v>174.2</v>
      </c>
      <c r="DU76">
        <v>174.2</v>
      </c>
      <c r="DV76">
        <v>174.6</v>
      </c>
      <c r="DW76">
        <v>175.2</v>
      </c>
    </row>
    <row r="77" spans="1:127" x14ac:dyDescent="0.3">
      <c r="A77" t="s">
        <v>37</v>
      </c>
      <c r="B77" t="str">
        <f>VLOOKUP(C77,'Broader Categories'!$A$1:$B$28,2,FALSE)</f>
        <v>Health</v>
      </c>
      <c r="C77" t="s">
        <v>26</v>
      </c>
      <c r="D77">
        <v>104</v>
      </c>
      <c r="E77">
        <v>104.5</v>
      </c>
      <c r="F77">
        <v>104.9</v>
      </c>
      <c r="G77">
        <v>105.3</v>
      </c>
      <c r="H77">
        <v>105.9</v>
      </c>
      <c r="I77">
        <v>106.4</v>
      </c>
      <c r="J77">
        <v>107</v>
      </c>
      <c r="K77">
        <v>107.5</v>
      </c>
      <c r="L77">
        <v>108.1</v>
      </c>
      <c r="M77">
        <v>108.6</v>
      </c>
      <c r="N77">
        <v>109.3</v>
      </c>
      <c r="O77">
        <v>109.7</v>
      </c>
      <c r="P77">
        <v>110.3</v>
      </c>
      <c r="Q77">
        <v>110.7</v>
      </c>
      <c r="R77">
        <v>111.2</v>
      </c>
      <c r="S77">
        <v>111.5</v>
      </c>
      <c r="T77">
        <v>111.8</v>
      </c>
      <c r="U77">
        <v>112.3</v>
      </c>
      <c r="V77">
        <v>112.7</v>
      </c>
      <c r="W77">
        <v>113.3</v>
      </c>
      <c r="X77">
        <v>113.7</v>
      </c>
      <c r="Y77">
        <v>114.3</v>
      </c>
      <c r="Z77">
        <v>114.8</v>
      </c>
      <c r="AA77">
        <v>115.1</v>
      </c>
      <c r="AB77">
        <v>115.5</v>
      </c>
      <c r="AC77">
        <v>116.3</v>
      </c>
      <c r="AD77">
        <v>116.7</v>
      </c>
      <c r="AE77">
        <v>117.1</v>
      </c>
      <c r="AF77">
        <v>117.7</v>
      </c>
      <c r="AG77">
        <v>118.5</v>
      </c>
      <c r="AH77">
        <v>119</v>
      </c>
      <c r="AI77">
        <v>119.4</v>
      </c>
      <c r="AJ77">
        <v>119.8</v>
      </c>
      <c r="AK77">
        <v>120.4</v>
      </c>
      <c r="AL77">
        <v>120.9</v>
      </c>
      <c r="AM77">
        <v>121.4</v>
      </c>
      <c r="AN77">
        <v>122</v>
      </c>
      <c r="AO77">
        <v>122.5</v>
      </c>
      <c r="AP77">
        <v>122.9</v>
      </c>
      <c r="AQ77">
        <v>123.2</v>
      </c>
      <c r="AR77">
        <v>123.7</v>
      </c>
      <c r="AS77">
        <v>124.1</v>
      </c>
      <c r="AT77">
        <v>124.5</v>
      </c>
      <c r="AU77">
        <v>124.8</v>
      </c>
      <c r="AV77">
        <v>125.4</v>
      </c>
      <c r="AW77">
        <v>126.1</v>
      </c>
      <c r="AX77">
        <v>126.4</v>
      </c>
      <c r="AY77">
        <v>126.9</v>
      </c>
      <c r="AZ77">
        <v>127.1</v>
      </c>
      <c r="BA77">
        <v>127.4</v>
      </c>
      <c r="BB77">
        <v>127.8</v>
      </c>
      <c r="BC77">
        <v>128.1</v>
      </c>
      <c r="BD77">
        <v>128.4</v>
      </c>
      <c r="BE77">
        <v>128.5</v>
      </c>
      <c r="BF77">
        <v>129.4</v>
      </c>
      <c r="BG77">
        <v>130.19999999999999</v>
      </c>
      <c r="BH77">
        <v>130.6</v>
      </c>
      <c r="BI77">
        <v>131.30000000000001</v>
      </c>
      <c r="BJ77">
        <v>132.6</v>
      </c>
      <c r="BK77">
        <v>133.1</v>
      </c>
      <c r="BL77">
        <v>133.30000000000001</v>
      </c>
      <c r="BM77">
        <v>133.80000000000001</v>
      </c>
      <c r="BN77">
        <v>134.30000000000001</v>
      </c>
      <c r="BO77">
        <v>135.19999999999999</v>
      </c>
      <c r="BP77">
        <v>136</v>
      </c>
      <c r="BQ77">
        <v>136.19999999999999</v>
      </c>
      <c r="BR77">
        <v>137</v>
      </c>
      <c r="BS77">
        <v>137.69999999999999</v>
      </c>
      <c r="BT77">
        <v>138.4</v>
      </c>
      <c r="BU77">
        <v>142.1</v>
      </c>
      <c r="BV77">
        <v>142.1</v>
      </c>
      <c r="BW77">
        <v>144.9</v>
      </c>
      <c r="BX77">
        <v>145.1</v>
      </c>
      <c r="BY77">
        <v>145.6</v>
      </c>
      <c r="BZ77">
        <v>146.19999999999999</v>
      </c>
      <c r="CA77">
        <v>146.9</v>
      </c>
      <c r="CB77">
        <v>147.4</v>
      </c>
      <c r="CC77">
        <v>147.9</v>
      </c>
      <c r="CD77">
        <v>148.5</v>
      </c>
      <c r="CE77">
        <v>149</v>
      </c>
      <c r="CF77">
        <v>149.4</v>
      </c>
      <c r="CG77">
        <v>149.9</v>
      </c>
      <c r="CH77">
        <v>150.4</v>
      </c>
      <c r="CI77">
        <v>151.19999999999999</v>
      </c>
      <c r="CJ77">
        <v>151.69999999999999</v>
      </c>
      <c r="CK77">
        <v>152.30000000000001</v>
      </c>
      <c r="CL77">
        <v>150.69999999999999</v>
      </c>
      <c r="CM77" t="s">
        <v>43</v>
      </c>
      <c r="CN77">
        <v>154.4</v>
      </c>
      <c r="CO77">
        <v>154.4</v>
      </c>
      <c r="CP77">
        <v>155</v>
      </c>
      <c r="CQ77">
        <v>155.6</v>
      </c>
      <c r="CR77">
        <v>156.30000000000001</v>
      </c>
      <c r="CS77">
        <v>157.19999999999999</v>
      </c>
      <c r="CT77">
        <v>158.30000000000001</v>
      </c>
      <c r="CU77">
        <v>159.30000000000001</v>
      </c>
      <c r="CV77">
        <v>161.30000000000001</v>
      </c>
      <c r="CW77">
        <v>161.69999999999999</v>
      </c>
      <c r="CX77">
        <v>162.30000000000001</v>
      </c>
      <c r="CY77">
        <v>165.8</v>
      </c>
      <c r="CZ77">
        <v>166.3</v>
      </c>
      <c r="DA77">
        <v>167</v>
      </c>
      <c r="DB77">
        <v>168.4</v>
      </c>
      <c r="DC77">
        <v>168.4</v>
      </c>
      <c r="DD77">
        <v>169.1</v>
      </c>
      <c r="DE77">
        <v>169.9</v>
      </c>
      <c r="DF77">
        <v>170.6</v>
      </c>
      <c r="DG77">
        <v>171.4</v>
      </c>
      <c r="DH77">
        <v>172.2</v>
      </c>
      <c r="DI77">
        <v>173</v>
      </c>
      <c r="DJ77">
        <v>174</v>
      </c>
      <c r="DK77">
        <v>174.8</v>
      </c>
      <c r="DL77">
        <v>175.4</v>
      </c>
      <c r="DM77">
        <v>176.1</v>
      </c>
      <c r="DN77">
        <v>176.8</v>
      </c>
      <c r="DO77">
        <v>177.8</v>
      </c>
      <c r="DP77">
        <v>178.7</v>
      </c>
      <c r="DQ77">
        <v>179.8</v>
      </c>
      <c r="DR77">
        <v>181.1</v>
      </c>
      <c r="DS77">
        <v>182.3</v>
      </c>
      <c r="DT77">
        <v>184.4</v>
      </c>
      <c r="DU77">
        <v>184.4</v>
      </c>
      <c r="DV77">
        <v>185</v>
      </c>
      <c r="DW77">
        <v>185.7</v>
      </c>
    </row>
    <row r="78" spans="1:127" x14ac:dyDescent="0.3">
      <c r="A78" t="s">
        <v>37</v>
      </c>
      <c r="B78" t="str">
        <f>VLOOKUP(C78,'Broader Categories'!$A$1:$B$28,2,FALSE)</f>
        <v>Transport</v>
      </c>
      <c r="C78" t="s">
        <v>27</v>
      </c>
      <c r="D78">
        <v>103.2</v>
      </c>
      <c r="E78">
        <v>104.2</v>
      </c>
      <c r="F78">
        <v>105.1</v>
      </c>
      <c r="G78">
        <v>104.7</v>
      </c>
      <c r="H78">
        <v>104</v>
      </c>
      <c r="I78">
        <v>105.1</v>
      </c>
      <c r="J78">
        <v>107.1</v>
      </c>
      <c r="K78">
        <v>108</v>
      </c>
      <c r="L78">
        <v>109.9</v>
      </c>
      <c r="M78">
        <v>109.5</v>
      </c>
      <c r="N78">
        <v>109.5</v>
      </c>
      <c r="O78">
        <v>109.8</v>
      </c>
      <c r="P78">
        <v>110.7</v>
      </c>
      <c r="Q78">
        <v>111.1</v>
      </c>
      <c r="R78">
        <v>111.4</v>
      </c>
      <c r="S78">
        <v>111.2</v>
      </c>
      <c r="T78">
        <v>111.3</v>
      </c>
      <c r="U78">
        <v>111.8</v>
      </c>
      <c r="V78">
        <v>113.1</v>
      </c>
      <c r="W78">
        <v>112.8</v>
      </c>
      <c r="X78">
        <v>112</v>
      </c>
      <c r="Y78">
        <v>111.8</v>
      </c>
      <c r="Z78">
        <v>110.8</v>
      </c>
      <c r="AA78">
        <v>110.1</v>
      </c>
      <c r="AB78">
        <v>109.4</v>
      </c>
      <c r="AC78">
        <v>108.7</v>
      </c>
      <c r="AD78">
        <v>109.9</v>
      </c>
      <c r="AE78">
        <v>110.1</v>
      </c>
      <c r="AF78">
        <v>112</v>
      </c>
      <c r="AG78">
        <v>112.9</v>
      </c>
      <c r="AH78">
        <v>112.7</v>
      </c>
      <c r="AI78">
        <v>111.7</v>
      </c>
      <c r="AJ78">
        <v>111.3</v>
      </c>
      <c r="AK78">
        <v>111.4</v>
      </c>
      <c r="AL78">
        <v>111.5</v>
      </c>
      <c r="AM78">
        <v>111.5</v>
      </c>
      <c r="AN78">
        <v>111.1</v>
      </c>
      <c r="AO78">
        <v>111.4</v>
      </c>
      <c r="AP78">
        <v>110.9</v>
      </c>
      <c r="AQ78">
        <v>112.1</v>
      </c>
      <c r="AR78">
        <v>112.8</v>
      </c>
      <c r="AS78">
        <v>114.2</v>
      </c>
      <c r="AT78">
        <v>113.9</v>
      </c>
      <c r="AU78">
        <v>113.1</v>
      </c>
      <c r="AV78">
        <v>114.3</v>
      </c>
      <c r="AW78">
        <v>115.2</v>
      </c>
      <c r="AX78">
        <v>115.7</v>
      </c>
      <c r="AY78">
        <v>116</v>
      </c>
      <c r="AZ78">
        <v>117</v>
      </c>
      <c r="BA78">
        <v>117.4</v>
      </c>
      <c r="BB78">
        <v>117.6</v>
      </c>
      <c r="BC78">
        <v>116.6</v>
      </c>
      <c r="BD78">
        <v>116.7</v>
      </c>
      <c r="BE78">
        <v>116.5</v>
      </c>
      <c r="BF78">
        <v>116</v>
      </c>
      <c r="BG78">
        <v>117.3</v>
      </c>
      <c r="BH78">
        <v>118.3</v>
      </c>
      <c r="BI78">
        <v>117.8</v>
      </c>
      <c r="BJ78">
        <v>118.3</v>
      </c>
      <c r="BK78">
        <v>118.5</v>
      </c>
      <c r="BL78">
        <v>119.3</v>
      </c>
      <c r="BM78">
        <v>120.2</v>
      </c>
      <c r="BN78">
        <v>121</v>
      </c>
      <c r="BO78">
        <v>121.9</v>
      </c>
      <c r="BP78">
        <v>122.9</v>
      </c>
      <c r="BQ78">
        <v>123.7</v>
      </c>
      <c r="BR78">
        <v>123.6</v>
      </c>
      <c r="BS78">
        <v>124.3</v>
      </c>
      <c r="BT78">
        <v>126</v>
      </c>
      <c r="BU78">
        <v>125.5</v>
      </c>
      <c r="BV78">
        <v>125.5</v>
      </c>
      <c r="BW78">
        <v>123.6</v>
      </c>
      <c r="BX78">
        <v>123.3</v>
      </c>
      <c r="BY78">
        <v>123.9</v>
      </c>
      <c r="BZ78">
        <v>124.6</v>
      </c>
      <c r="CA78">
        <v>124.9</v>
      </c>
      <c r="CB78">
        <v>124.6</v>
      </c>
      <c r="CC78">
        <v>125.6</v>
      </c>
      <c r="CD78">
        <v>125.8</v>
      </c>
      <c r="CE78">
        <v>126.1</v>
      </c>
      <c r="CF78">
        <v>126.3</v>
      </c>
      <c r="CG78">
        <v>126.6</v>
      </c>
      <c r="CH78">
        <v>129.80000000000001</v>
      </c>
      <c r="CI78">
        <v>130.9</v>
      </c>
      <c r="CJ78">
        <v>130.30000000000001</v>
      </c>
      <c r="CK78">
        <v>129.9</v>
      </c>
      <c r="CL78" t="s">
        <v>43</v>
      </c>
      <c r="CM78" t="s">
        <v>43</v>
      </c>
      <c r="CN78">
        <v>135</v>
      </c>
      <c r="CO78">
        <v>135</v>
      </c>
      <c r="CP78">
        <v>138.5</v>
      </c>
      <c r="CQ78">
        <v>139.6</v>
      </c>
      <c r="CR78">
        <v>140.6</v>
      </c>
      <c r="CS78">
        <v>140.4</v>
      </c>
      <c r="CT78">
        <v>140.69999999999999</v>
      </c>
      <c r="CU78">
        <v>141.9</v>
      </c>
      <c r="CV78">
        <v>145.1</v>
      </c>
      <c r="CW78">
        <v>146.19999999999999</v>
      </c>
      <c r="CX78">
        <v>146.6</v>
      </c>
      <c r="CY78">
        <v>148.9</v>
      </c>
      <c r="CZ78">
        <v>150.69999999999999</v>
      </c>
      <c r="DA78">
        <v>153.1</v>
      </c>
      <c r="DB78">
        <v>154</v>
      </c>
      <c r="DC78">
        <v>154</v>
      </c>
      <c r="DD78">
        <v>155.69999999999999</v>
      </c>
      <c r="DE78">
        <v>154.80000000000001</v>
      </c>
      <c r="DF78">
        <v>155.69999999999999</v>
      </c>
      <c r="DG78">
        <v>156.5</v>
      </c>
      <c r="DH78">
        <v>156.9</v>
      </c>
      <c r="DI78">
        <v>157.9</v>
      </c>
      <c r="DJ78">
        <v>162.6</v>
      </c>
      <c r="DK78">
        <v>163</v>
      </c>
      <c r="DL78">
        <v>161.1</v>
      </c>
      <c r="DM78">
        <v>161.6</v>
      </c>
      <c r="DN78">
        <v>161.9</v>
      </c>
      <c r="DO78">
        <v>162.30000000000001</v>
      </c>
      <c r="DP78">
        <v>162.9</v>
      </c>
      <c r="DQ78">
        <v>163</v>
      </c>
      <c r="DR78">
        <v>163.4</v>
      </c>
      <c r="DS78">
        <v>163.6</v>
      </c>
      <c r="DT78">
        <v>164.2</v>
      </c>
      <c r="DU78">
        <v>164.2</v>
      </c>
      <c r="DV78">
        <v>164.5</v>
      </c>
      <c r="DW78">
        <v>164.8</v>
      </c>
    </row>
    <row r="79" spans="1:127" x14ac:dyDescent="0.3">
      <c r="A79" t="s">
        <v>37</v>
      </c>
      <c r="B79" t="str">
        <f>VLOOKUP(C79,'Broader Categories'!$A$1:$B$28,2,FALSE)</f>
        <v>Recreation</v>
      </c>
      <c r="C79" t="s">
        <v>28</v>
      </c>
      <c r="D79">
        <v>103.1</v>
      </c>
      <c r="E79">
        <v>103.6</v>
      </c>
      <c r="F79">
        <v>103.7</v>
      </c>
      <c r="G79">
        <v>104.2</v>
      </c>
      <c r="H79">
        <v>104.8</v>
      </c>
      <c r="I79">
        <v>105.4</v>
      </c>
      <c r="J79">
        <v>106.1</v>
      </c>
      <c r="K79">
        <v>106.6</v>
      </c>
      <c r="L79">
        <v>107.5</v>
      </c>
      <c r="M79">
        <v>108.1</v>
      </c>
      <c r="N79">
        <v>108.6</v>
      </c>
      <c r="O79">
        <v>109</v>
      </c>
      <c r="P79">
        <v>109.7</v>
      </c>
      <c r="Q79">
        <v>110.1</v>
      </c>
      <c r="R79">
        <v>110.6</v>
      </c>
      <c r="S79">
        <v>110.9</v>
      </c>
      <c r="T79">
        <v>111.2</v>
      </c>
      <c r="U79">
        <v>111.6</v>
      </c>
      <c r="V79">
        <v>112.1</v>
      </c>
      <c r="W79">
        <v>112.6</v>
      </c>
      <c r="X79">
        <v>113.1</v>
      </c>
      <c r="Y79">
        <v>113.3</v>
      </c>
      <c r="Z79">
        <v>113.7</v>
      </c>
      <c r="AA79">
        <v>113.9</v>
      </c>
      <c r="AB79">
        <v>114.3</v>
      </c>
      <c r="AC79">
        <v>114.9</v>
      </c>
      <c r="AD79">
        <v>115.4</v>
      </c>
      <c r="AE79">
        <v>115.9</v>
      </c>
      <c r="AF79">
        <v>116.3</v>
      </c>
      <c r="AG79">
        <v>116.9</v>
      </c>
      <c r="AH79">
        <v>117.2</v>
      </c>
      <c r="AI79">
        <v>117.8</v>
      </c>
      <c r="AJ79">
        <v>118.3</v>
      </c>
      <c r="AK79">
        <v>118.7</v>
      </c>
      <c r="AL79">
        <v>119.2</v>
      </c>
      <c r="AM79">
        <v>119.6</v>
      </c>
      <c r="AN79">
        <v>119.8</v>
      </c>
      <c r="AO79">
        <v>120.3</v>
      </c>
      <c r="AP79">
        <v>120.6</v>
      </c>
      <c r="AQ79">
        <v>121.1</v>
      </c>
      <c r="AR79">
        <v>121.5</v>
      </c>
      <c r="AS79">
        <v>121.7</v>
      </c>
      <c r="AT79">
        <v>122.4</v>
      </c>
      <c r="AU79">
        <v>122.7</v>
      </c>
      <c r="AV79">
        <v>122.9</v>
      </c>
      <c r="AW79">
        <v>123.5</v>
      </c>
      <c r="AX79">
        <v>124</v>
      </c>
      <c r="AY79">
        <v>124.2</v>
      </c>
      <c r="AZ79">
        <v>124.2</v>
      </c>
      <c r="BA79">
        <v>124.6</v>
      </c>
      <c r="BB79">
        <v>125</v>
      </c>
      <c r="BC79">
        <v>125.1</v>
      </c>
      <c r="BD79">
        <v>125.7</v>
      </c>
      <c r="BE79">
        <v>125.9</v>
      </c>
      <c r="BF79">
        <v>126.6</v>
      </c>
      <c r="BG79">
        <v>127.3</v>
      </c>
      <c r="BH79">
        <v>127.9</v>
      </c>
      <c r="BI79">
        <v>128.4</v>
      </c>
      <c r="BJ79">
        <v>128.9</v>
      </c>
      <c r="BK79">
        <v>129</v>
      </c>
      <c r="BL79">
        <v>129.69999999999999</v>
      </c>
      <c r="BM79">
        <v>129.9</v>
      </c>
      <c r="BN79">
        <v>130.4</v>
      </c>
      <c r="BO79">
        <v>131.30000000000001</v>
      </c>
      <c r="BP79">
        <v>131.80000000000001</v>
      </c>
      <c r="BQ79">
        <v>132.6</v>
      </c>
      <c r="BR79">
        <v>133.1</v>
      </c>
      <c r="BS79">
        <v>133.6</v>
      </c>
      <c r="BT79">
        <v>134.5</v>
      </c>
      <c r="BU79">
        <v>136.5</v>
      </c>
      <c r="BV79">
        <v>136.5</v>
      </c>
      <c r="BW79">
        <v>136.80000000000001</v>
      </c>
      <c r="BX79">
        <v>136.69999999999999</v>
      </c>
      <c r="BY79">
        <v>137.1</v>
      </c>
      <c r="BZ79">
        <v>137.69999999999999</v>
      </c>
      <c r="CA79">
        <v>139.19999999999999</v>
      </c>
      <c r="CB79">
        <v>139.6</v>
      </c>
      <c r="CC79">
        <v>140.5</v>
      </c>
      <c r="CD79">
        <v>140.9</v>
      </c>
      <c r="CE79">
        <v>141.30000000000001</v>
      </c>
      <c r="CF79">
        <v>141.69999999999999</v>
      </c>
      <c r="CG79">
        <v>142.1</v>
      </c>
      <c r="CH79">
        <v>142.30000000000001</v>
      </c>
      <c r="CI79">
        <v>142.80000000000001</v>
      </c>
      <c r="CJ79">
        <v>143.19999999999999</v>
      </c>
      <c r="CK79">
        <v>143.69999999999999</v>
      </c>
      <c r="CL79" t="s">
        <v>43</v>
      </c>
      <c r="CM79" t="s">
        <v>43</v>
      </c>
      <c r="CN79">
        <v>148.30000000000001</v>
      </c>
      <c r="CO79">
        <v>148.30000000000001</v>
      </c>
      <c r="CP79">
        <v>146</v>
      </c>
      <c r="CQ79">
        <v>146.6</v>
      </c>
      <c r="CR79">
        <v>146.5</v>
      </c>
      <c r="CS79">
        <v>148.4</v>
      </c>
      <c r="CT79">
        <v>148.5</v>
      </c>
      <c r="CU79">
        <v>149.6</v>
      </c>
      <c r="CV79">
        <v>151.5</v>
      </c>
      <c r="CW79">
        <v>152.6</v>
      </c>
      <c r="CX79">
        <v>153.19999999999999</v>
      </c>
      <c r="CY79">
        <v>155.80000000000001</v>
      </c>
      <c r="CZ79">
        <v>154.9</v>
      </c>
      <c r="DA79">
        <v>155.30000000000001</v>
      </c>
      <c r="DB79">
        <v>157.6</v>
      </c>
      <c r="DC79">
        <v>157.69999999999999</v>
      </c>
      <c r="DD79">
        <v>158.6</v>
      </c>
      <c r="DE79">
        <v>159.80000000000001</v>
      </c>
      <c r="DF79">
        <v>160.6</v>
      </c>
      <c r="DG79">
        <v>161.19999999999999</v>
      </c>
      <c r="DH79">
        <v>162.1</v>
      </c>
      <c r="DI79">
        <v>163.30000000000001</v>
      </c>
      <c r="DJ79">
        <v>164.4</v>
      </c>
      <c r="DK79">
        <v>165.1</v>
      </c>
      <c r="DL79">
        <v>165.8</v>
      </c>
      <c r="DM79">
        <v>166.3</v>
      </c>
      <c r="DN79">
        <v>166.9</v>
      </c>
      <c r="DO79">
        <v>167.6</v>
      </c>
      <c r="DP79">
        <v>168.2</v>
      </c>
      <c r="DQ79">
        <v>168.5</v>
      </c>
      <c r="DR79">
        <v>168.9</v>
      </c>
      <c r="DS79">
        <v>169.5</v>
      </c>
      <c r="DT79">
        <v>170.3</v>
      </c>
      <c r="DU79">
        <v>170.3</v>
      </c>
      <c r="DV79">
        <v>170.7</v>
      </c>
      <c r="DW79">
        <v>171.2</v>
      </c>
    </row>
    <row r="80" spans="1:127" x14ac:dyDescent="0.3">
      <c r="A80" t="s">
        <v>37</v>
      </c>
      <c r="B80" t="str">
        <f>VLOOKUP(C80,'Broader Categories'!$A$1:$B$28,2,FALSE)</f>
        <v>Education</v>
      </c>
      <c r="C80" t="s">
        <v>29</v>
      </c>
      <c r="D80">
        <v>103.6</v>
      </c>
      <c r="E80">
        <v>103.9</v>
      </c>
      <c r="F80">
        <v>104</v>
      </c>
      <c r="G80">
        <v>105</v>
      </c>
      <c r="H80">
        <v>105.6</v>
      </c>
      <c r="I80">
        <v>107.4</v>
      </c>
      <c r="J80">
        <v>109.1</v>
      </c>
      <c r="K80">
        <v>109.9</v>
      </c>
      <c r="L80">
        <v>110.6</v>
      </c>
      <c r="M80">
        <v>110.8</v>
      </c>
      <c r="N80">
        <v>111.2</v>
      </c>
      <c r="O80">
        <v>111.5</v>
      </c>
      <c r="P80">
        <v>111.6</v>
      </c>
      <c r="Q80">
        <v>111.8</v>
      </c>
      <c r="R80">
        <v>112</v>
      </c>
      <c r="S80">
        <v>112.7</v>
      </c>
      <c r="T80">
        <v>113</v>
      </c>
      <c r="U80">
        <v>114.8</v>
      </c>
      <c r="V80">
        <v>116.8</v>
      </c>
      <c r="W80">
        <v>118</v>
      </c>
      <c r="X80">
        <v>118.6</v>
      </c>
      <c r="Y80">
        <v>118.8</v>
      </c>
      <c r="Z80">
        <v>119</v>
      </c>
      <c r="AA80">
        <v>119.5</v>
      </c>
      <c r="AB80">
        <v>119.7</v>
      </c>
      <c r="AC80">
        <v>119.7</v>
      </c>
      <c r="AD80">
        <v>120.1</v>
      </c>
      <c r="AE80">
        <v>121</v>
      </c>
      <c r="AF80">
        <v>121.4</v>
      </c>
      <c r="AG80">
        <v>123.1</v>
      </c>
      <c r="AH80">
        <v>124.4</v>
      </c>
      <c r="AI80">
        <v>125.1</v>
      </c>
      <c r="AJ80">
        <v>125.7</v>
      </c>
      <c r="AK80">
        <v>125.9</v>
      </c>
      <c r="AL80">
        <v>126.3</v>
      </c>
      <c r="AM80">
        <v>126.2</v>
      </c>
      <c r="AN80">
        <v>126.3</v>
      </c>
      <c r="AO80">
        <v>126.6</v>
      </c>
      <c r="AP80">
        <v>126.9</v>
      </c>
      <c r="AQ80">
        <v>127.7</v>
      </c>
      <c r="AR80">
        <v>128.5</v>
      </c>
      <c r="AS80">
        <v>129.69999999999999</v>
      </c>
      <c r="AT80">
        <v>130.80000000000001</v>
      </c>
      <c r="AU80">
        <v>131.69999999999999</v>
      </c>
      <c r="AV80">
        <v>131.80000000000001</v>
      </c>
      <c r="AW80">
        <v>132.4</v>
      </c>
      <c r="AX80">
        <v>132.80000000000001</v>
      </c>
      <c r="AY80">
        <v>133.1</v>
      </c>
      <c r="AZ80">
        <v>133.30000000000001</v>
      </c>
      <c r="BA80">
        <v>133.4</v>
      </c>
      <c r="BB80">
        <v>133.80000000000001</v>
      </c>
      <c r="BC80">
        <v>134.5</v>
      </c>
      <c r="BD80">
        <v>134.80000000000001</v>
      </c>
      <c r="BE80">
        <v>135.4</v>
      </c>
      <c r="BF80">
        <v>136.80000000000001</v>
      </c>
      <c r="BG80">
        <v>137.6</v>
      </c>
      <c r="BH80">
        <v>137.4</v>
      </c>
      <c r="BI80">
        <v>137.9</v>
      </c>
      <c r="BJ80">
        <v>138.6</v>
      </c>
      <c r="BK80">
        <v>138.5</v>
      </c>
      <c r="BL80">
        <v>139</v>
      </c>
      <c r="BM80">
        <v>139</v>
      </c>
      <c r="BN80">
        <v>139.80000000000001</v>
      </c>
      <c r="BO80">
        <v>141.4</v>
      </c>
      <c r="BP80">
        <v>142.1</v>
      </c>
      <c r="BQ80">
        <v>142.80000000000001</v>
      </c>
      <c r="BR80">
        <v>144.69999999999999</v>
      </c>
      <c r="BS80">
        <v>146</v>
      </c>
      <c r="BT80">
        <v>146.19999999999999</v>
      </c>
      <c r="BU80">
        <v>147.80000000000001</v>
      </c>
      <c r="BV80">
        <v>147.80000000000001</v>
      </c>
      <c r="BW80">
        <v>150.1</v>
      </c>
      <c r="BX80">
        <v>150.19999999999999</v>
      </c>
      <c r="BY80">
        <v>150.30000000000001</v>
      </c>
      <c r="BZ80">
        <v>150.30000000000001</v>
      </c>
      <c r="CA80">
        <v>151.6</v>
      </c>
      <c r="CB80">
        <v>152.5</v>
      </c>
      <c r="CC80">
        <v>154</v>
      </c>
      <c r="CD80">
        <v>154.9</v>
      </c>
      <c r="CE80">
        <v>155.19999999999999</v>
      </c>
      <c r="CF80">
        <v>155.4</v>
      </c>
      <c r="CG80">
        <v>155.5</v>
      </c>
      <c r="CH80">
        <v>155.69999999999999</v>
      </c>
      <c r="CI80">
        <v>156.1</v>
      </c>
      <c r="CJ80">
        <v>156.19999999999999</v>
      </c>
      <c r="CK80">
        <v>156.1</v>
      </c>
      <c r="CL80" t="s">
        <v>43</v>
      </c>
      <c r="CM80" t="s">
        <v>43</v>
      </c>
      <c r="CN80">
        <v>156.4</v>
      </c>
      <c r="CO80">
        <v>156.4</v>
      </c>
      <c r="CP80">
        <v>158.5</v>
      </c>
      <c r="CQ80">
        <v>157.5</v>
      </c>
      <c r="CR80">
        <v>158.5</v>
      </c>
      <c r="CS80">
        <v>158.6</v>
      </c>
      <c r="CT80">
        <v>159.4</v>
      </c>
      <c r="CU80">
        <v>159.19999999999999</v>
      </c>
      <c r="CV80">
        <v>159.5</v>
      </c>
      <c r="CW80">
        <v>160.19999999999999</v>
      </c>
      <c r="CX80">
        <v>160.30000000000001</v>
      </c>
      <c r="CY80">
        <v>161.19999999999999</v>
      </c>
      <c r="CZ80">
        <v>161.69999999999999</v>
      </c>
      <c r="DA80">
        <v>163.19999999999999</v>
      </c>
      <c r="DB80">
        <v>163.80000000000001</v>
      </c>
      <c r="DC80">
        <v>163.69999999999999</v>
      </c>
      <c r="DD80">
        <v>163.9</v>
      </c>
      <c r="DE80">
        <v>164.3</v>
      </c>
      <c r="DF80">
        <v>164.4</v>
      </c>
      <c r="DG80">
        <v>164.7</v>
      </c>
      <c r="DH80">
        <v>165.4</v>
      </c>
      <c r="DI80">
        <v>166</v>
      </c>
      <c r="DJ80">
        <v>166.9</v>
      </c>
      <c r="DK80">
        <v>167.9</v>
      </c>
      <c r="DL80">
        <v>169</v>
      </c>
      <c r="DM80">
        <v>171.4</v>
      </c>
      <c r="DN80">
        <v>172.3</v>
      </c>
      <c r="DO80">
        <v>173.1</v>
      </c>
      <c r="DP80">
        <v>173.4</v>
      </c>
      <c r="DQ80">
        <v>173.7</v>
      </c>
      <c r="DR80">
        <v>174.1</v>
      </c>
      <c r="DS80">
        <v>174.3</v>
      </c>
      <c r="DT80">
        <v>175</v>
      </c>
      <c r="DU80">
        <v>175</v>
      </c>
      <c r="DV80">
        <v>176.4</v>
      </c>
      <c r="DW80">
        <v>177.1</v>
      </c>
    </row>
    <row r="81" spans="1:127" x14ac:dyDescent="0.3">
      <c r="A81" t="s">
        <v>37</v>
      </c>
      <c r="B81" t="str">
        <f>VLOOKUP(C81,'Broader Categories'!$A$1:$B$28,2,FALSE)</f>
        <v>Health</v>
      </c>
      <c r="C81" t="s">
        <v>30</v>
      </c>
      <c r="D81">
        <v>104.5</v>
      </c>
      <c r="E81">
        <v>104.5</v>
      </c>
      <c r="F81">
        <v>104.3</v>
      </c>
      <c r="G81">
        <v>102.9</v>
      </c>
      <c r="H81">
        <v>102.3</v>
      </c>
      <c r="I81">
        <v>102.8</v>
      </c>
      <c r="J81">
        <v>102.8</v>
      </c>
      <c r="K81">
        <v>105.4</v>
      </c>
      <c r="L81">
        <v>106.8</v>
      </c>
      <c r="M81">
        <v>107.4</v>
      </c>
      <c r="N81">
        <v>108.1</v>
      </c>
      <c r="O81">
        <v>107.9</v>
      </c>
      <c r="P81">
        <v>108.2</v>
      </c>
      <c r="Q81">
        <v>108.7</v>
      </c>
      <c r="R81">
        <v>109</v>
      </c>
      <c r="S81">
        <v>109</v>
      </c>
      <c r="T81">
        <v>109.1</v>
      </c>
      <c r="U81">
        <v>108.3</v>
      </c>
      <c r="V81">
        <v>109.2</v>
      </c>
      <c r="W81">
        <v>109.9</v>
      </c>
      <c r="X81">
        <v>109.5</v>
      </c>
      <c r="Y81">
        <v>109.6</v>
      </c>
      <c r="Z81">
        <v>109.1</v>
      </c>
      <c r="AA81">
        <v>109.8</v>
      </c>
      <c r="AB81">
        <v>110.7</v>
      </c>
      <c r="AC81">
        <v>111.2</v>
      </c>
      <c r="AD81">
        <v>111</v>
      </c>
      <c r="AE81">
        <v>111.7</v>
      </c>
      <c r="AF81">
        <v>112.3</v>
      </c>
      <c r="AG81">
        <v>112.8</v>
      </c>
      <c r="AH81">
        <v>112.3</v>
      </c>
      <c r="AI81">
        <v>112.3</v>
      </c>
      <c r="AJ81">
        <v>113.4</v>
      </c>
      <c r="AK81">
        <v>113.9</v>
      </c>
      <c r="AL81">
        <v>113.8</v>
      </c>
      <c r="AM81">
        <v>113.7</v>
      </c>
      <c r="AN81">
        <v>114.5</v>
      </c>
      <c r="AO81">
        <v>116.6</v>
      </c>
      <c r="AP81">
        <v>117.3</v>
      </c>
      <c r="AQ81">
        <v>118.1</v>
      </c>
      <c r="AR81">
        <v>119.2</v>
      </c>
      <c r="AS81">
        <v>119.4</v>
      </c>
      <c r="AT81">
        <v>120.5</v>
      </c>
      <c r="AU81">
        <v>121.5</v>
      </c>
      <c r="AV81">
        <v>122.1</v>
      </c>
      <c r="AW81">
        <v>122.1</v>
      </c>
      <c r="AX81">
        <v>122.6</v>
      </c>
      <c r="AY81">
        <v>121.1</v>
      </c>
      <c r="AZ81">
        <v>121.7</v>
      </c>
      <c r="BA81">
        <v>122.6</v>
      </c>
      <c r="BB81">
        <v>122.6</v>
      </c>
      <c r="BC81">
        <v>123.1</v>
      </c>
      <c r="BD81">
        <v>123</v>
      </c>
      <c r="BE81">
        <v>123.4</v>
      </c>
      <c r="BF81">
        <v>123.6</v>
      </c>
      <c r="BG81">
        <v>124.5</v>
      </c>
      <c r="BH81">
        <v>125.7</v>
      </c>
      <c r="BI81">
        <v>126.2</v>
      </c>
      <c r="BJ81">
        <v>126.8</v>
      </c>
      <c r="BK81">
        <v>126.5</v>
      </c>
      <c r="BL81">
        <v>127.3</v>
      </c>
      <c r="BM81">
        <v>127.7</v>
      </c>
      <c r="BN81">
        <v>128.19999999999999</v>
      </c>
      <c r="BO81">
        <v>129.19999999999999</v>
      </c>
      <c r="BP81">
        <v>129.9</v>
      </c>
      <c r="BQ81">
        <v>130.1</v>
      </c>
      <c r="BR81">
        <v>130.1</v>
      </c>
      <c r="BS81">
        <v>130.1</v>
      </c>
      <c r="BT81">
        <v>130.9</v>
      </c>
      <c r="BU81">
        <v>132</v>
      </c>
      <c r="BV81">
        <v>132</v>
      </c>
      <c r="BW81">
        <v>132.19999999999999</v>
      </c>
      <c r="BX81">
        <v>132.80000000000001</v>
      </c>
      <c r="BY81">
        <v>134.1</v>
      </c>
      <c r="BZ81">
        <v>133.4</v>
      </c>
      <c r="CA81">
        <v>133.4</v>
      </c>
      <c r="CB81">
        <v>134.30000000000001</v>
      </c>
      <c r="CC81">
        <v>135.69999999999999</v>
      </c>
      <c r="CD81">
        <v>138.4</v>
      </c>
      <c r="CE81">
        <v>139.69999999999999</v>
      </c>
      <c r="CF81">
        <v>140</v>
      </c>
      <c r="CG81">
        <v>140.30000000000001</v>
      </c>
      <c r="CH81">
        <v>140.4</v>
      </c>
      <c r="CI81">
        <v>142.30000000000001</v>
      </c>
      <c r="CJ81">
        <v>143.4</v>
      </c>
      <c r="CK81">
        <v>145.19999999999999</v>
      </c>
      <c r="CL81" t="s">
        <v>43</v>
      </c>
      <c r="CM81" t="s">
        <v>43</v>
      </c>
      <c r="CN81">
        <v>151.6</v>
      </c>
      <c r="CO81">
        <v>151.6</v>
      </c>
      <c r="CP81">
        <v>154.30000000000001</v>
      </c>
      <c r="CQ81">
        <v>158.4</v>
      </c>
      <c r="CR81">
        <v>157</v>
      </c>
      <c r="CS81">
        <v>156.9</v>
      </c>
      <c r="CT81">
        <v>157.1</v>
      </c>
      <c r="CU81">
        <v>156.80000000000001</v>
      </c>
      <c r="CV81">
        <v>155.80000000000001</v>
      </c>
      <c r="CW81">
        <v>153.80000000000001</v>
      </c>
      <c r="CX81">
        <v>155.4</v>
      </c>
      <c r="CY81">
        <v>158.6</v>
      </c>
      <c r="CZ81">
        <v>158.80000000000001</v>
      </c>
      <c r="DA81">
        <v>160.1</v>
      </c>
      <c r="DB81">
        <v>160</v>
      </c>
      <c r="DC81">
        <v>160</v>
      </c>
      <c r="DD81">
        <v>160.80000000000001</v>
      </c>
      <c r="DE81">
        <v>162.19999999999999</v>
      </c>
      <c r="DF81">
        <v>162.6</v>
      </c>
      <c r="DG81">
        <v>163</v>
      </c>
      <c r="DH81">
        <v>164.4</v>
      </c>
      <c r="DI81">
        <v>167.2</v>
      </c>
      <c r="DJ81">
        <v>168.8</v>
      </c>
      <c r="DK81">
        <v>168.4</v>
      </c>
      <c r="DL81">
        <v>169.4</v>
      </c>
      <c r="DM81">
        <v>169.7</v>
      </c>
      <c r="DN81">
        <v>171.2</v>
      </c>
      <c r="DO81">
        <v>170.9</v>
      </c>
      <c r="DP81">
        <v>172.1</v>
      </c>
      <c r="DQ81">
        <v>173.6</v>
      </c>
      <c r="DR81">
        <v>175.8</v>
      </c>
      <c r="DS81">
        <v>178.6</v>
      </c>
      <c r="DT81">
        <v>181</v>
      </c>
      <c r="DU81">
        <v>181</v>
      </c>
      <c r="DV81">
        <v>184</v>
      </c>
      <c r="DW81">
        <v>185.2</v>
      </c>
    </row>
    <row r="82" spans="1:127" x14ac:dyDescent="0.3">
      <c r="A82" t="s">
        <v>37</v>
      </c>
      <c r="B82" t="str">
        <f>VLOOKUP(C82,'Broader Categories'!$A$1:$B$28,2,FALSE)</f>
        <v>Misc</v>
      </c>
      <c r="C82" t="s">
        <v>31</v>
      </c>
      <c r="D82">
        <v>103.9</v>
      </c>
      <c r="E82">
        <v>104.4</v>
      </c>
      <c r="F82">
        <v>104.7</v>
      </c>
      <c r="G82">
        <v>104.8</v>
      </c>
      <c r="H82">
        <v>104.8</v>
      </c>
      <c r="I82">
        <v>105.8</v>
      </c>
      <c r="J82">
        <v>106.9</v>
      </c>
      <c r="K82">
        <v>107.9</v>
      </c>
      <c r="L82">
        <v>109</v>
      </c>
      <c r="M82">
        <v>109.2</v>
      </c>
      <c r="N82">
        <v>109.7</v>
      </c>
      <c r="O82">
        <v>110</v>
      </c>
      <c r="P82">
        <v>110.6</v>
      </c>
      <c r="Q82">
        <v>110.9</v>
      </c>
      <c r="R82">
        <v>111.3</v>
      </c>
      <c r="S82">
        <v>111.5</v>
      </c>
      <c r="T82">
        <v>111.8</v>
      </c>
      <c r="U82">
        <v>112.3</v>
      </c>
      <c r="V82">
        <v>113.3</v>
      </c>
      <c r="W82">
        <v>113.7</v>
      </c>
      <c r="X82">
        <v>113.7</v>
      </c>
      <c r="Y82">
        <v>113.9</v>
      </c>
      <c r="Z82">
        <v>113.8</v>
      </c>
      <c r="AA82">
        <v>113.8</v>
      </c>
      <c r="AB82">
        <v>114</v>
      </c>
      <c r="AC82">
        <v>114.1</v>
      </c>
      <c r="AD82">
        <v>114.7</v>
      </c>
      <c r="AE82">
        <v>115.1</v>
      </c>
      <c r="AF82">
        <v>116.1</v>
      </c>
      <c r="AG82">
        <v>117</v>
      </c>
      <c r="AH82">
        <v>117.2</v>
      </c>
      <c r="AI82">
        <v>117.2</v>
      </c>
      <c r="AJ82">
        <v>117.5</v>
      </c>
      <c r="AK82">
        <v>117.9</v>
      </c>
      <c r="AL82">
        <v>118.1</v>
      </c>
      <c r="AM82">
        <v>118.3</v>
      </c>
      <c r="AN82">
        <v>118.5</v>
      </c>
      <c r="AO82">
        <v>119.1</v>
      </c>
      <c r="AP82">
        <v>119.3</v>
      </c>
      <c r="AQ82">
        <v>120</v>
      </c>
      <c r="AR82">
        <v>120.7</v>
      </c>
      <c r="AS82">
        <v>121.5</v>
      </c>
      <c r="AT82">
        <v>121.9</v>
      </c>
      <c r="AU82">
        <v>122.1</v>
      </c>
      <c r="AV82">
        <v>122.8</v>
      </c>
      <c r="AW82">
        <v>123.4</v>
      </c>
      <c r="AX82">
        <v>123.8</v>
      </c>
      <c r="AY82">
        <v>123.9</v>
      </c>
      <c r="AZ82">
        <v>124.4</v>
      </c>
      <c r="BA82">
        <v>124.8</v>
      </c>
      <c r="BB82">
        <v>125.1</v>
      </c>
      <c r="BC82">
        <v>125.1</v>
      </c>
      <c r="BD82">
        <v>125.3</v>
      </c>
      <c r="BE82">
        <v>125.5</v>
      </c>
      <c r="BF82">
        <v>125.9</v>
      </c>
      <c r="BG82">
        <v>126.8</v>
      </c>
      <c r="BH82">
        <v>127.5</v>
      </c>
      <c r="BI82">
        <v>127.7</v>
      </c>
      <c r="BJ82">
        <v>128.4</v>
      </c>
      <c r="BK82">
        <v>128.6</v>
      </c>
      <c r="BL82">
        <v>129.1</v>
      </c>
      <c r="BM82">
        <v>129.6</v>
      </c>
      <c r="BN82">
        <v>130.30000000000001</v>
      </c>
      <c r="BO82">
        <v>131.30000000000001</v>
      </c>
      <c r="BP82">
        <v>132.1</v>
      </c>
      <c r="BQ82">
        <v>132.6</v>
      </c>
      <c r="BR82">
        <v>133.19999999999999</v>
      </c>
      <c r="BS82">
        <v>133.9</v>
      </c>
      <c r="BT82">
        <v>134.69999999999999</v>
      </c>
      <c r="BU82">
        <v>136.30000000000001</v>
      </c>
      <c r="BV82">
        <v>136.30000000000001</v>
      </c>
      <c r="BW82">
        <v>136.80000000000001</v>
      </c>
      <c r="BX82">
        <v>136.9</v>
      </c>
      <c r="BY82">
        <v>137.4</v>
      </c>
      <c r="BZ82">
        <v>137.69999999999999</v>
      </c>
      <c r="CA82">
        <v>138.19999999999999</v>
      </c>
      <c r="CB82">
        <v>138.6</v>
      </c>
      <c r="CC82">
        <v>139.5</v>
      </c>
      <c r="CD82">
        <v>140.19999999999999</v>
      </c>
      <c r="CE82">
        <v>140.69999999999999</v>
      </c>
      <c r="CF82">
        <v>141</v>
      </c>
      <c r="CG82">
        <v>141.30000000000001</v>
      </c>
      <c r="CH82">
        <v>142.5</v>
      </c>
      <c r="CI82">
        <v>143.4</v>
      </c>
      <c r="CJ82">
        <v>143.6</v>
      </c>
      <c r="CK82">
        <v>143.80000000000001</v>
      </c>
      <c r="CL82" t="s">
        <v>43</v>
      </c>
      <c r="CM82" t="s">
        <v>43</v>
      </c>
      <c r="CN82">
        <v>147</v>
      </c>
      <c r="CO82">
        <v>147</v>
      </c>
      <c r="CP82">
        <v>149</v>
      </c>
      <c r="CQ82">
        <v>150</v>
      </c>
      <c r="CR82">
        <v>150.4</v>
      </c>
      <c r="CS82">
        <v>150.69999999999999</v>
      </c>
      <c r="CT82">
        <v>151.19999999999999</v>
      </c>
      <c r="CU82">
        <v>151.9</v>
      </c>
      <c r="CV82">
        <v>153.4</v>
      </c>
      <c r="CW82">
        <v>153.80000000000001</v>
      </c>
      <c r="CX82">
        <v>154.4</v>
      </c>
      <c r="CY82">
        <v>156.80000000000001</v>
      </c>
      <c r="CZ82">
        <v>157.6</v>
      </c>
      <c r="DA82">
        <v>159</v>
      </c>
      <c r="DB82">
        <v>160</v>
      </c>
      <c r="DC82">
        <v>160</v>
      </c>
      <c r="DD82">
        <v>161</v>
      </c>
      <c r="DE82">
        <v>161.4</v>
      </c>
      <c r="DF82">
        <v>162</v>
      </c>
      <c r="DG82">
        <v>162.69999999999999</v>
      </c>
      <c r="DH82">
        <v>163.5</v>
      </c>
      <c r="DI82">
        <v>164.6</v>
      </c>
      <c r="DJ82">
        <v>166.8</v>
      </c>
      <c r="DK82">
        <v>167.5</v>
      </c>
      <c r="DL82">
        <v>167.5</v>
      </c>
      <c r="DM82">
        <v>168.4</v>
      </c>
      <c r="DN82">
        <v>169.1</v>
      </c>
      <c r="DO82">
        <v>169.7</v>
      </c>
      <c r="DP82">
        <v>170.5</v>
      </c>
      <c r="DQ82">
        <v>171.1</v>
      </c>
      <c r="DR82">
        <v>172</v>
      </c>
      <c r="DS82">
        <v>172.8</v>
      </c>
      <c r="DT82">
        <v>174.1</v>
      </c>
      <c r="DU82">
        <v>174.1</v>
      </c>
      <c r="DV82">
        <v>175</v>
      </c>
      <c r="DW82">
        <v>175.7</v>
      </c>
    </row>
    <row r="83" spans="1:127" x14ac:dyDescent="0.3">
      <c r="A83" t="s">
        <v>37</v>
      </c>
      <c r="B83" t="str">
        <f>VLOOKUP(C83,'Broader Categories'!$A$1:$B$28,2,FALSE)</f>
        <v>Does not come under any category</v>
      </c>
      <c r="C83" t="s">
        <v>32</v>
      </c>
      <c r="D83">
        <v>104.6</v>
      </c>
      <c r="E83">
        <v>105.3</v>
      </c>
      <c r="F83">
        <v>105.5</v>
      </c>
      <c r="G83">
        <v>106.1</v>
      </c>
      <c r="H83">
        <v>106.9</v>
      </c>
      <c r="I83">
        <v>109.3</v>
      </c>
      <c r="J83">
        <v>111</v>
      </c>
      <c r="K83">
        <v>112.4</v>
      </c>
      <c r="L83">
        <v>113.7</v>
      </c>
      <c r="M83">
        <v>114.8</v>
      </c>
      <c r="N83">
        <v>116.3</v>
      </c>
      <c r="O83">
        <v>114.5</v>
      </c>
      <c r="P83">
        <v>113.6</v>
      </c>
      <c r="Q83">
        <v>113.6</v>
      </c>
      <c r="R83">
        <v>114.2</v>
      </c>
      <c r="S83">
        <v>115.1</v>
      </c>
      <c r="T83">
        <v>115.8</v>
      </c>
      <c r="U83">
        <v>116.7</v>
      </c>
      <c r="V83">
        <v>119.2</v>
      </c>
      <c r="W83">
        <v>120.3</v>
      </c>
      <c r="X83">
        <v>120.1</v>
      </c>
      <c r="Y83">
        <v>120.1</v>
      </c>
      <c r="Z83">
        <v>120.1</v>
      </c>
      <c r="AA83">
        <v>119.4</v>
      </c>
      <c r="AB83">
        <v>119.5</v>
      </c>
      <c r="AC83">
        <v>119.7</v>
      </c>
      <c r="AD83">
        <v>120.2</v>
      </c>
      <c r="AE83">
        <v>120.7</v>
      </c>
      <c r="AF83">
        <v>121.6</v>
      </c>
      <c r="AG83">
        <v>123</v>
      </c>
      <c r="AH83">
        <v>123.6</v>
      </c>
      <c r="AI83">
        <v>124.8</v>
      </c>
      <c r="AJ83">
        <v>125.4</v>
      </c>
      <c r="AK83">
        <v>126.1</v>
      </c>
      <c r="AL83">
        <v>126.6</v>
      </c>
      <c r="AM83">
        <v>126.1</v>
      </c>
      <c r="AN83">
        <v>126.3</v>
      </c>
      <c r="AO83">
        <v>126</v>
      </c>
      <c r="AP83">
        <v>126</v>
      </c>
      <c r="AQ83">
        <v>127.3</v>
      </c>
      <c r="AR83">
        <v>128.6</v>
      </c>
      <c r="AS83">
        <v>130.1</v>
      </c>
      <c r="AT83">
        <v>131.1</v>
      </c>
      <c r="AU83">
        <v>131.1</v>
      </c>
      <c r="AV83">
        <v>130.9</v>
      </c>
      <c r="AW83">
        <v>131.4</v>
      </c>
      <c r="AX83">
        <v>131.19999999999999</v>
      </c>
      <c r="AY83">
        <v>130.4</v>
      </c>
      <c r="AZ83">
        <v>130.30000000000001</v>
      </c>
      <c r="BA83">
        <v>130.6</v>
      </c>
      <c r="BB83">
        <v>130.9</v>
      </c>
      <c r="BC83">
        <v>131.1</v>
      </c>
      <c r="BD83">
        <v>131.4</v>
      </c>
      <c r="BE83">
        <v>132</v>
      </c>
      <c r="BF83">
        <v>134.19999999999999</v>
      </c>
      <c r="BG83">
        <v>135.4</v>
      </c>
      <c r="BH83">
        <v>135.19999999999999</v>
      </c>
      <c r="BI83">
        <v>136.1</v>
      </c>
      <c r="BJ83">
        <v>137.6</v>
      </c>
      <c r="BK83">
        <v>137.19999999999999</v>
      </c>
      <c r="BL83">
        <v>136.9</v>
      </c>
      <c r="BM83">
        <v>136.4</v>
      </c>
      <c r="BN83">
        <v>136.5</v>
      </c>
      <c r="BO83">
        <v>137.1</v>
      </c>
      <c r="BP83">
        <v>137.80000000000001</v>
      </c>
      <c r="BQ83">
        <v>138.5</v>
      </c>
      <c r="BR83">
        <v>139.80000000000001</v>
      </c>
      <c r="BS83">
        <v>140.4</v>
      </c>
      <c r="BT83">
        <v>140.19999999999999</v>
      </c>
      <c r="BU83">
        <v>140.80000000000001</v>
      </c>
      <c r="BV83">
        <v>140.80000000000001</v>
      </c>
      <c r="BW83">
        <v>140.1</v>
      </c>
      <c r="BX83">
        <v>139.6</v>
      </c>
      <c r="BY83">
        <v>139.9</v>
      </c>
      <c r="BZ83">
        <v>140.4</v>
      </c>
      <c r="CA83">
        <v>142</v>
      </c>
      <c r="CB83">
        <v>142.9</v>
      </c>
      <c r="CC83">
        <v>144.19999999999999</v>
      </c>
      <c r="CD83">
        <v>145</v>
      </c>
      <c r="CE83">
        <v>145.80000000000001</v>
      </c>
      <c r="CF83">
        <v>147.19999999999999</v>
      </c>
      <c r="CG83">
        <v>148.6</v>
      </c>
      <c r="CH83">
        <v>150.4</v>
      </c>
      <c r="CI83">
        <v>150.19999999999999</v>
      </c>
      <c r="CJ83">
        <v>149.1</v>
      </c>
      <c r="CK83">
        <v>148.6</v>
      </c>
      <c r="CL83" t="s">
        <v>43</v>
      </c>
      <c r="CM83" t="s">
        <v>43</v>
      </c>
      <c r="CN83">
        <v>151.80000000000001</v>
      </c>
      <c r="CO83">
        <v>151.80000000000001</v>
      </c>
      <c r="CP83">
        <v>153.9</v>
      </c>
      <c r="CQ83">
        <v>154.69999999999999</v>
      </c>
      <c r="CR83">
        <v>156.4</v>
      </c>
      <c r="CS83">
        <v>158.4</v>
      </c>
      <c r="CT83">
        <v>158.9</v>
      </c>
      <c r="CU83">
        <v>157.30000000000001</v>
      </c>
      <c r="CV83">
        <v>156.6</v>
      </c>
      <c r="CW83">
        <v>156.80000000000001</v>
      </c>
      <c r="CX83">
        <v>157.80000000000001</v>
      </c>
      <c r="CY83">
        <v>160.4</v>
      </c>
      <c r="CZ83">
        <v>161.30000000000001</v>
      </c>
      <c r="DA83">
        <v>162.5</v>
      </c>
      <c r="DB83">
        <v>163.19999999999999</v>
      </c>
      <c r="DC83">
        <v>163.19999999999999</v>
      </c>
      <c r="DD83">
        <v>165.5</v>
      </c>
      <c r="DE83">
        <v>166.7</v>
      </c>
      <c r="DF83">
        <v>166.2</v>
      </c>
      <c r="DG83">
        <v>165.7</v>
      </c>
      <c r="DH83">
        <v>166.1</v>
      </c>
      <c r="DI83">
        <v>167.7</v>
      </c>
      <c r="DJ83">
        <v>170.1</v>
      </c>
      <c r="DK83">
        <v>171.7</v>
      </c>
      <c r="DL83">
        <v>172.6</v>
      </c>
      <c r="DM83">
        <v>173.4</v>
      </c>
      <c r="DN83">
        <v>174.3</v>
      </c>
      <c r="DO83">
        <v>175.3</v>
      </c>
      <c r="DP83">
        <v>176.7</v>
      </c>
      <c r="DQ83">
        <v>176.5</v>
      </c>
      <c r="DR83">
        <v>175.7</v>
      </c>
      <c r="DS83">
        <v>176.5</v>
      </c>
      <c r="DT83">
        <v>177.2</v>
      </c>
      <c r="DU83">
        <v>177.2</v>
      </c>
      <c r="DV83">
        <v>178.1</v>
      </c>
      <c r="DW83">
        <v>179.1</v>
      </c>
    </row>
  </sheetData>
  <autoFilter ref="A2:DW83" xr:uid="{03E7FB58-B4CC-41BD-82C8-98DD2822756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4BB47-8A5F-4BA4-B932-43D5E8270247}">
  <dimension ref="A6:K36"/>
  <sheetViews>
    <sheetView showGridLines="0" workbookViewId="0">
      <selection activeCell="I32" sqref="I32"/>
    </sheetView>
  </sheetViews>
  <sheetFormatPr defaultRowHeight="14.4" x14ac:dyDescent="0.3"/>
  <cols>
    <col min="1" max="1" width="29.88671875" bestFit="1" customWidth="1"/>
    <col min="2" max="2" width="9.6640625" bestFit="1" customWidth="1"/>
    <col min="3" max="3" width="13.6640625" bestFit="1" customWidth="1"/>
    <col min="4" max="4" width="11.5546875" bestFit="1" customWidth="1"/>
    <col min="5" max="5" width="13.6640625" bestFit="1" customWidth="1"/>
    <col min="6" max="6" width="6.21875" bestFit="1" customWidth="1"/>
    <col min="7" max="7" width="13.6640625" bestFit="1" customWidth="1"/>
    <col min="8" max="8" width="20.109375" bestFit="1" customWidth="1"/>
    <col min="9" max="9" width="18.109375" bestFit="1" customWidth="1"/>
    <col min="10" max="361" width="15.5546875" bestFit="1" customWidth="1"/>
    <col min="362" max="362" width="10.77734375" bestFit="1" customWidth="1"/>
  </cols>
  <sheetData>
    <row r="6" spans="1:11" x14ac:dyDescent="0.3">
      <c r="B6" t="s">
        <v>65</v>
      </c>
    </row>
    <row r="7" spans="1:11" x14ac:dyDescent="0.3">
      <c r="B7" t="s">
        <v>33</v>
      </c>
      <c r="D7" t="s">
        <v>37</v>
      </c>
      <c r="F7" t="s">
        <v>36</v>
      </c>
    </row>
    <row r="8" spans="1:11" x14ac:dyDescent="0.3">
      <c r="A8" s="2" t="s">
        <v>38</v>
      </c>
      <c r="B8" t="s">
        <v>63</v>
      </c>
      <c r="C8" t="s">
        <v>64</v>
      </c>
      <c r="D8" t="s">
        <v>63</v>
      </c>
      <c r="E8" t="s">
        <v>64</v>
      </c>
      <c r="F8" t="s">
        <v>63</v>
      </c>
      <c r="G8" t="s">
        <v>64</v>
      </c>
    </row>
    <row r="9" spans="1:11" x14ac:dyDescent="0.3">
      <c r="A9" s="10" t="s">
        <v>21</v>
      </c>
      <c r="B9" s="7">
        <v>569.90000000000009</v>
      </c>
      <c r="C9" s="1">
        <v>0.12180994314538536</v>
      </c>
      <c r="D9" s="7">
        <v>553.20000000000005</v>
      </c>
      <c r="E9" s="1">
        <v>0.11445122581979933</v>
      </c>
      <c r="F9" s="7">
        <v>528.70000000000005</v>
      </c>
      <c r="G9" s="1">
        <v>0.10970928181610674</v>
      </c>
      <c r="J9" s="4"/>
    </row>
    <row r="10" spans="1:11" x14ac:dyDescent="0.3">
      <c r="A10" s="10" t="s">
        <v>59</v>
      </c>
      <c r="B10" s="7">
        <v>179.8</v>
      </c>
      <c r="C10" s="1">
        <v>3.8430299662292132E-2</v>
      </c>
      <c r="D10" s="7">
        <v>179.1</v>
      </c>
      <c r="E10" s="1">
        <v>3.7053894693286439E-2</v>
      </c>
      <c r="F10" s="7">
        <v>178.2</v>
      </c>
      <c r="G10" s="1">
        <v>3.6977858936315902E-2</v>
      </c>
      <c r="K10" s="4"/>
    </row>
    <row r="11" spans="1:11" x14ac:dyDescent="0.3">
      <c r="A11" s="10" t="s">
        <v>29</v>
      </c>
      <c r="B11" s="7">
        <v>180.3</v>
      </c>
      <c r="C11" s="1">
        <v>3.8537169238661129E-2</v>
      </c>
      <c r="D11" s="7">
        <v>177.1</v>
      </c>
      <c r="E11" s="1">
        <v>3.6640115858073856E-2</v>
      </c>
      <c r="F11" s="7">
        <v>174.8</v>
      </c>
      <c r="G11" s="1">
        <v>3.6272333008238053E-2</v>
      </c>
      <c r="K11" s="5"/>
    </row>
    <row r="12" spans="1:11" x14ac:dyDescent="0.3">
      <c r="A12" s="10" t="s">
        <v>17</v>
      </c>
      <c r="B12" s="7">
        <v>2490.6000000000008</v>
      </c>
      <c r="C12" s="1">
        <v>0.53233873380925922</v>
      </c>
      <c r="D12" s="7">
        <v>2507.9</v>
      </c>
      <c r="E12" s="1">
        <v>0.5188579704148133</v>
      </c>
      <c r="F12" s="7">
        <v>2539.2999999999997</v>
      </c>
      <c r="G12" s="1">
        <v>0.52692411446120635</v>
      </c>
    </row>
    <row r="13" spans="1:11" x14ac:dyDescent="0.3">
      <c r="A13" s="10" t="s">
        <v>26</v>
      </c>
      <c r="B13" s="7">
        <v>372.70000000000005</v>
      </c>
      <c r="C13" s="1">
        <v>7.966058222545204E-2</v>
      </c>
      <c r="D13" s="7">
        <v>370.9</v>
      </c>
      <c r="E13" s="1">
        <v>7.673528499017275E-2</v>
      </c>
      <c r="F13" s="7">
        <v>367.79999999999995</v>
      </c>
      <c r="G13" s="1">
        <v>7.632130480795167E-2</v>
      </c>
    </row>
    <row r="14" spans="1:11" x14ac:dyDescent="0.3">
      <c r="A14" s="10" t="s">
        <v>25</v>
      </c>
      <c r="B14" s="7">
        <v>362.3</v>
      </c>
      <c r="C14" s="1">
        <v>7.7437695036976853E-2</v>
      </c>
      <c r="D14" s="7">
        <v>533.59999999999991</v>
      </c>
      <c r="E14" s="1">
        <v>0.11039619323471603</v>
      </c>
      <c r="F14" s="7">
        <v>529.1</v>
      </c>
      <c r="G14" s="1">
        <v>0.10979228486646884</v>
      </c>
    </row>
    <row r="15" spans="1:11" x14ac:dyDescent="0.3">
      <c r="A15" s="10" t="s">
        <v>58</v>
      </c>
      <c r="B15" s="7">
        <v>179.5</v>
      </c>
      <c r="C15" s="1">
        <v>3.8366177916470727E-2</v>
      </c>
      <c r="D15" s="7">
        <v>175.7</v>
      </c>
      <c r="E15" s="1">
        <v>3.6350470673425055E-2</v>
      </c>
      <c r="F15" s="7">
        <v>171.6</v>
      </c>
      <c r="G15" s="1">
        <v>3.5608308605341241E-2</v>
      </c>
    </row>
    <row r="16" spans="1:11" x14ac:dyDescent="0.3">
      <c r="A16" s="10" t="s">
        <v>40</v>
      </c>
      <c r="B16" s="7">
        <v>173.8</v>
      </c>
      <c r="C16" s="1">
        <v>3.7147864745864137E-2</v>
      </c>
      <c r="D16" s="7">
        <v>171.2</v>
      </c>
      <c r="E16" s="1">
        <v>3.5419468294196753E-2</v>
      </c>
      <c r="F16" s="7">
        <v>169.2</v>
      </c>
      <c r="G16" s="1">
        <v>3.5110290303168638E-2</v>
      </c>
    </row>
    <row r="17" spans="1:7" x14ac:dyDescent="0.3">
      <c r="A17" s="10" t="s">
        <v>39</v>
      </c>
      <c r="B17" s="7">
        <v>169.7</v>
      </c>
      <c r="C17" s="1">
        <v>3.6271534219638343E-2</v>
      </c>
      <c r="D17" s="7">
        <v>164.8</v>
      </c>
      <c r="E17" s="1">
        <v>3.4095376021516501E-2</v>
      </c>
      <c r="F17" s="7">
        <v>160.4</v>
      </c>
      <c r="G17" s="1">
        <v>3.3284223195202425E-2</v>
      </c>
    </row>
    <row r="18" spans="1:7" x14ac:dyDescent="0.3">
      <c r="A18" s="3" t="s">
        <v>41</v>
      </c>
      <c r="B18" s="7">
        <v>4678.6000000000013</v>
      </c>
      <c r="C18" s="1">
        <v>1</v>
      </c>
      <c r="D18" s="7">
        <v>4833.5</v>
      </c>
      <c r="E18" s="1">
        <v>1</v>
      </c>
      <c r="F18" s="7">
        <v>4819.1000000000004</v>
      </c>
      <c r="G18" s="1">
        <v>1</v>
      </c>
    </row>
    <row r="23" spans="1:7" x14ac:dyDescent="0.3">
      <c r="A23" t="s">
        <v>131</v>
      </c>
    </row>
    <row r="25" spans="1:7" x14ac:dyDescent="0.3">
      <c r="A25" t="s">
        <v>132</v>
      </c>
    </row>
    <row r="27" spans="1:7" x14ac:dyDescent="0.3">
      <c r="A27" s="53" t="s">
        <v>127</v>
      </c>
    </row>
    <row r="28" spans="1:7" x14ac:dyDescent="0.3">
      <c r="A28" t="s">
        <v>128</v>
      </c>
    </row>
    <row r="29" spans="1:7" x14ac:dyDescent="0.3">
      <c r="A29" t="s">
        <v>129</v>
      </c>
      <c r="C29" s="1"/>
      <c r="D29" s="1"/>
      <c r="E29" s="1"/>
    </row>
    <row r="30" spans="1:7" x14ac:dyDescent="0.3">
      <c r="A30" t="s">
        <v>130</v>
      </c>
      <c r="C30" s="1"/>
      <c r="D30" s="1"/>
      <c r="E30" s="1"/>
    </row>
    <row r="31" spans="1:7" x14ac:dyDescent="0.3">
      <c r="C31" s="1"/>
      <c r="D31" s="1"/>
      <c r="E31" s="1"/>
    </row>
    <row r="32" spans="1:7" x14ac:dyDescent="0.3">
      <c r="C32" s="1"/>
      <c r="D32" s="1"/>
      <c r="E32" s="1"/>
    </row>
    <row r="33" spans="2:5" x14ac:dyDescent="0.3">
      <c r="B33" s="1"/>
      <c r="C33" s="1"/>
      <c r="D33" s="1"/>
    </row>
    <row r="34" spans="2:5" x14ac:dyDescent="0.3">
      <c r="C34" s="1"/>
      <c r="D34" s="1"/>
      <c r="E34" s="1"/>
    </row>
    <row r="35" spans="2:5" x14ac:dyDescent="0.3">
      <c r="C35" s="1"/>
      <c r="D35" s="1"/>
      <c r="E35" s="1"/>
    </row>
    <row r="36" spans="2:5" x14ac:dyDescent="0.3">
      <c r="C36" s="1"/>
      <c r="D36" s="1"/>
      <c r="E36" s="1"/>
    </row>
  </sheetData>
  <conditionalFormatting pivot="1" sqref="B9:G17">
    <cfRule type="dataBar" priority="11">
      <dataBar>
        <cfvo type="min"/>
        <cfvo type="max"/>
        <color rgb="FFFF555A"/>
      </dataBar>
      <extLst>
        <ext xmlns:x14="http://schemas.microsoft.com/office/spreadsheetml/2009/9/main" uri="{B025F937-C7B1-47D3-B67F-A62EFF666E3E}">
          <x14:id>{D215AC0C-E660-4532-8DDD-7231E716D5C5}</x14:id>
        </ext>
      </extLst>
    </cfRule>
  </conditionalFormatting>
  <conditionalFormatting pivot="1" sqref="C9:C17">
    <cfRule type="colorScale" priority="3">
      <colorScale>
        <cfvo type="min"/>
        <cfvo type="percentile" val="50"/>
        <cfvo type="max"/>
        <color rgb="FFF8696B"/>
        <color rgb="FFFCFCFF"/>
        <color rgb="FF63BE7B"/>
      </colorScale>
    </cfRule>
  </conditionalFormatting>
  <conditionalFormatting pivot="1" sqref="E9:E17">
    <cfRule type="colorScale" priority="2">
      <colorScale>
        <cfvo type="min"/>
        <cfvo type="percentile" val="50"/>
        <cfvo type="max"/>
        <color rgb="FFF8696B"/>
        <color rgb="FFFCFCFF"/>
        <color rgb="FF63BE7B"/>
      </colorScale>
    </cfRule>
  </conditionalFormatting>
  <conditionalFormatting pivot="1" sqref="G9:G17">
    <cfRule type="colorScale" priority="1">
      <colorScale>
        <cfvo type="min"/>
        <cfvo type="percentile" val="50"/>
        <cfvo type="max"/>
        <color rgb="FFF8696B"/>
        <color rgb="FFFCFCFF"/>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215AC0C-E660-4532-8DDD-7231E716D5C5}">
            <x14:dataBar minLength="0" maxLength="100" border="1" negativeBarBorderColorSameAsPositive="0">
              <x14:cfvo type="autoMin"/>
              <x14:cfvo type="autoMax"/>
              <x14:borderColor rgb="FFFF555A"/>
              <x14:negativeFillColor rgb="FFFF0000"/>
              <x14:negativeBorderColor rgb="FFFF0000"/>
              <x14:axisColor rgb="FF000000"/>
            </x14:dataBar>
          </x14:cfRule>
          <xm:sqref>B9:G17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7E48-D7C4-4FA6-9E94-84FDB518E6CB}">
  <dimension ref="A5:X31"/>
  <sheetViews>
    <sheetView showGridLines="0" topLeftCell="A3" workbookViewId="0">
      <selection activeCell="E6" sqref="E6"/>
    </sheetView>
  </sheetViews>
  <sheetFormatPr defaultRowHeight="14.4" x14ac:dyDescent="0.3"/>
  <cols>
    <col min="1" max="1" width="9.77734375" customWidth="1"/>
    <col min="2" max="2" width="7" customWidth="1"/>
    <col min="3" max="3" width="9.6640625" customWidth="1"/>
    <col min="4" max="4" width="9.77734375" customWidth="1"/>
    <col min="5" max="5" width="11.33203125" customWidth="1"/>
    <col min="6" max="6" width="15.33203125" customWidth="1"/>
    <col min="7" max="7" width="12.21875" customWidth="1"/>
    <col min="8" max="8" width="10.77734375" bestFit="1" customWidth="1"/>
    <col min="9" max="9" width="21.33203125" bestFit="1" customWidth="1"/>
    <col min="10" max="10" width="9.6640625" customWidth="1"/>
    <col min="11" max="11" width="11" customWidth="1"/>
    <col min="12" max="12" width="12.21875" customWidth="1"/>
    <col min="13" max="13" width="8.88671875" customWidth="1"/>
    <col min="14" max="48" width="21.33203125" bestFit="1" customWidth="1"/>
    <col min="49" max="49" width="16.44140625" bestFit="1" customWidth="1"/>
    <col min="50" max="50" width="19.6640625" bestFit="1" customWidth="1"/>
    <col min="51" max="51" width="17.33203125" bestFit="1" customWidth="1"/>
    <col min="52" max="52" width="22.109375" bestFit="1" customWidth="1"/>
    <col min="53" max="53" width="21.44140625" bestFit="1" customWidth="1"/>
    <col min="54" max="54" width="20.44140625" bestFit="1" customWidth="1"/>
    <col min="55" max="55" width="26.109375" bestFit="1" customWidth="1"/>
  </cols>
  <sheetData>
    <row r="5" spans="2:5" s="8" customFormat="1" ht="15.6" x14ac:dyDescent="0.3">
      <c r="B5" s="12" t="s">
        <v>1</v>
      </c>
      <c r="C5" s="12" t="s">
        <v>42</v>
      </c>
      <c r="D5" s="12" t="s">
        <v>54</v>
      </c>
      <c r="E5" s="12" t="s">
        <v>66</v>
      </c>
    </row>
    <row r="6" spans="2:5" x14ac:dyDescent="0.3">
      <c r="B6" s="13">
        <v>2017</v>
      </c>
      <c r="C6" s="13">
        <f>SUMIFS(Gen_Ind,Sector,"Rural+Urban",Year,'Solution 2'!$B6,Month,'Solution 2'!C$5)</f>
        <v>130.30000000000001</v>
      </c>
      <c r="D6" s="13">
        <f>SUMIFS(Gen_Ind,Sector,"Rural+Urban",Year,'Solution 2'!$B6,Month,'Solution 2'!D$5)</f>
        <v>137.19999999999999</v>
      </c>
      <c r="E6" s="14">
        <v>5.295471987720627E-2</v>
      </c>
    </row>
    <row r="7" spans="2:5" x14ac:dyDescent="0.3">
      <c r="B7" s="13">
        <v>2018</v>
      </c>
      <c r="C7" s="13">
        <f>SUMIFS(Gen_Ind,Sector,"Rural+Urban",Year,'Solution 2'!$B7,Month,'Solution 2'!C$5)</f>
        <v>136.9</v>
      </c>
      <c r="D7" s="13">
        <f>SUMIFS(Gen_Ind,Sector,"Rural+Urban",Year,'Solution 2'!$B7,Month,'Solution 2'!D$5)</f>
        <v>140.1</v>
      </c>
      <c r="E7" s="14">
        <v>2.3374726077428697E-2</v>
      </c>
    </row>
    <row r="8" spans="2:5" x14ac:dyDescent="0.3">
      <c r="B8" s="13">
        <v>2019</v>
      </c>
      <c r="C8" s="13">
        <f>SUMIFS(Gen_Ind,Sector,"Rural+Urban",Year,'Solution 2'!$B8,Month,'Solution 2'!C$5)</f>
        <v>139.6</v>
      </c>
      <c r="D8" s="13">
        <f>SUMIFS(Gen_Ind,Sector,"Rural+Urban",Year,'Solution 2'!$B8,Month,'Solution 2'!D$5)</f>
        <v>150.4</v>
      </c>
      <c r="E8" s="14">
        <v>7.7363896848137617E-2</v>
      </c>
    </row>
    <row r="9" spans="2:5" x14ac:dyDescent="0.3">
      <c r="B9" s="13">
        <v>2020</v>
      </c>
      <c r="C9" s="13">
        <f>SUMIFS(Gen_Ind,Sector,"Rural+Urban",Year,'Solution 2'!$B9,Month,'Solution 2'!C$5)</f>
        <v>150.19999999999999</v>
      </c>
      <c r="D9" s="13">
        <f>SUMIFS(Gen_Ind,Sector,"Rural+Urban",Year,'Solution 2'!$B9,Month,'Solution 2'!D$5)</f>
        <v>158.9</v>
      </c>
      <c r="E9" s="14">
        <v>5.7922769640479481E-2</v>
      </c>
    </row>
    <row r="10" spans="2:5" x14ac:dyDescent="0.3">
      <c r="B10" s="13">
        <v>2021</v>
      </c>
      <c r="C10" s="13">
        <f>SUMIFS(Gen_Ind,Sector,"Rural+Urban",Year,'Solution 2'!$B10,Month,'Solution 2'!C$5)</f>
        <v>157.30000000000001</v>
      </c>
      <c r="D10" s="13">
        <f>SUMIFS(Gen_Ind,Sector,"Rural+Urban",Year,'Solution 2'!$B10,Month,'Solution 2'!D$5)</f>
        <v>166.2</v>
      </c>
      <c r="E10" s="14">
        <v>5.657978385251098E-2</v>
      </c>
    </row>
    <row r="11" spans="2:5" x14ac:dyDescent="0.3">
      <c r="B11" s="13">
        <v>2022</v>
      </c>
      <c r="C11" s="13">
        <f>SUMIFS(Gen_Ind,Sector,"Rural+Urban",Year,'Solution 2'!$B11,Month,'Solution 2'!C$5)</f>
        <v>165.7</v>
      </c>
      <c r="D11" s="13">
        <f>SUMIFS(Gen_Ind,Sector,"Rural+Urban",Year,'Solution 2'!$B11,Month,'Solution 2'!D$5)</f>
        <v>175.7</v>
      </c>
      <c r="E11" s="14">
        <v>6.0350030175015092E-2</v>
      </c>
    </row>
    <row r="25" spans="1:24" ht="18" x14ac:dyDescent="0.35">
      <c r="A25" s="19" t="s">
        <v>123</v>
      </c>
    </row>
    <row r="26" spans="1:24" ht="18" x14ac:dyDescent="0.3">
      <c r="A26" s="18" t="s">
        <v>122</v>
      </c>
    </row>
    <row r="28" spans="1:24" x14ac:dyDescent="0.3">
      <c r="A28" s="53" t="s">
        <v>134</v>
      </c>
    </row>
    <row r="30" spans="1:24" x14ac:dyDescent="0.3">
      <c r="A30" s="55" t="s">
        <v>136</v>
      </c>
      <c r="B30" s="55"/>
      <c r="C30" s="55"/>
      <c r="D30" s="55"/>
      <c r="E30" s="55"/>
      <c r="F30" s="55"/>
      <c r="G30" s="55"/>
      <c r="H30" s="55"/>
      <c r="I30" s="55"/>
      <c r="J30" s="55"/>
      <c r="K30" s="55"/>
      <c r="L30" s="55"/>
      <c r="M30" s="55"/>
      <c r="N30" s="55"/>
      <c r="O30" s="55"/>
      <c r="P30" s="55"/>
      <c r="Q30" s="55"/>
      <c r="R30" s="55"/>
      <c r="S30" s="55"/>
      <c r="T30" s="55"/>
      <c r="U30" s="55"/>
      <c r="V30" s="55"/>
      <c r="W30" s="55"/>
      <c r="X30" s="55"/>
    </row>
    <row r="31" spans="1:24" x14ac:dyDescent="0.3">
      <c r="A31" t="s">
        <v>137</v>
      </c>
    </row>
  </sheetData>
  <sortState xmlns:xlrd2="http://schemas.microsoft.com/office/spreadsheetml/2017/richdata2" ref="B6:E11">
    <sortCondition ref="B6:B11"/>
  </sortState>
  <mergeCells count="1">
    <mergeCell ref="A30:X30"/>
  </mergeCells>
  <conditionalFormatting sqref="E6:E11">
    <cfRule type="dataBar" priority="1">
      <dataBar>
        <cfvo type="min"/>
        <cfvo type="max"/>
        <color rgb="FFFF555A"/>
      </dataBar>
      <extLst>
        <ext xmlns:x14="http://schemas.microsoft.com/office/spreadsheetml/2009/9/main" uri="{B025F937-C7B1-47D3-B67F-A62EFF666E3E}">
          <x14:id>{57942007-0FBF-485A-A7BE-0AE97B179B25}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57942007-0FBF-485A-A7BE-0AE97B179B25}">
            <x14:dataBar minLength="0" maxLength="100" border="1" negativeBarBorderColorSameAsPositive="0">
              <x14:cfvo type="autoMin"/>
              <x14:cfvo type="autoMax"/>
              <x14:borderColor rgb="FFFF555A"/>
              <x14:negativeFillColor rgb="FFFF0000"/>
              <x14:negativeBorderColor rgb="FFFF0000"/>
              <x14:axisColor rgb="FF000000"/>
            </x14:dataBar>
          </x14:cfRule>
          <xm:sqref>E6:E11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28885-08FC-4235-966A-FCC0D5A051CE}">
  <dimension ref="A4:O69"/>
  <sheetViews>
    <sheetView showGridLines="0" workbookViewId="0">
      <selection activeCell="G68" sqref="G68"/>
    </sheetView>
  </sheetViews>
  <sheetFormatPr defaultRowHeight="14.4" x14ac:dyDescent="0.3"/>
  <cols>
    <col min="1" max="1" width="14" customWidth="1"/>
    <col min="2" max="2" width="12.88671875" customWidth="1"/>
    <col min="3" max="3" width="19.21875" bestFit="1" customWidth="1"/>
    <col min="4" max="4" width="10.44140625" bestFit="1" customWidth="1"/>
    <col min="5" max="5" width="23" bestFit="1" customWidth="1"/>
    <col min="6" max="6" width="17.88671875" bestFit="1" customWidth="1"/>
    <col min="7" max="7" width="12" bestFit="1" customWidth="1"/>
    <col min="8" max="8" width="21.21875" customWidth="1"/>
    <col min="9" max="9" width="24.5546875" bestFit="1" customWidth="1"/>
    <col min="10" max="10" width="18.21875" customWidth="1"/>
    <col min="11" max="11" width="12.6640625" bestFit="1" customWidth="1"/>
    <col min="12" max="12" width="12.109375" customWidth="1"/>
    <col min="13" max="13" width="25.44140625" customWidth="1"/>
    <col min="14" max="14" width="24.6640625" bestFit="1" customWidth="1"/>
    <col min="15" max="15" width="32.21875" bestFit="1" customWidth="1"/>
    <col min="16" max="16" width="7" bestFit="1" customWidth="1"/>
    <col min="17" max="18" width="5" bestFit="1" customWidth="1"/>
    <col min="19" max="28" width="7" bestFit="1" customWidth="1"/>
    <col min="29" max="29" width="5" bestFit="1" customWidth="1"/>
    <col min="30" max="35" width="7" bestFit="1" customWidth="1"/>
    <col min="36" max="36" width="5" bestFit="1" customWidth="1"/>
    <col min="37" max="52" width="7" bestFit="1" customWidth="1"/>
    <col min="53" max="53" width="5" bestFit="1" customWidth="1"/>
    <col min="54" max="58" width="7" bestFit="1" customWidth="1"/>
    <col min="59" max="59" width="5" bestFit="1" customWidth="1"/>
    <col min="60" max="87" width="7" bestFit="1" customWidth="1"/>
    <col min="88" max="88" width="5" bestFit="1" customWidth="1"/>
    <col min="89" max="91" width="7" bestFit="1" customWidth="1"/>
    <col min="92" max="92" width="5" bestFit="1" customWidth="1"/>
    <col min="93" max="95" width="7" bestFit="1" customWidth="1"/>
    <col min="96" max="96" width="5" bestFit="1" customWidth="1"/>
    <col min="97" max="97" width="7" bestFit="1" customWidth="1"/>
    <col min="98" max="98" width="5" bestFit="1" customWidth="1"/>
    <col min="99" max="108" width="7" bestFit="1" customWidth="1"/>
    <col min="109" max="109" width="5" bestFit="1" customWidth="1"/>
    <col min="110" max="111" width="7" bestFit="1" customWidth="1"/>
    <col min="112" max="112" width="5" bestFit="1" customWidth="1"/>
    <col min="113" max="119" width="7" bestFit="1" customWidth="1"/>
    <col min="120" max="120" width="5" bestFit="1" customWidth="1"/>
    <col min="121" max="132" width="7" bestFit="1" customWidth="1"/>
    <col min="133" max="133" width="5" bestFit="1" customWidth="1"/>
    <col min="134" max="139" width="7" bestFit="1" customWidth="1"/>
    <col min="140" max="140" width="5" bestFit="1" customWidth="1"/>
    <col min="141" max="152" width="7" bestFit="1" customWidth="1"/>
    <col min="153" max="153" width="5" bestFit="1" customWidth="1"/>
    <col min="154" max="161" width="7" bestFit="1" customWidth="1"/>
    <col min="162" max="162" width="5" bestFit="1" customWidth="1"/>
    <col min="163" max="166" width="7" bestFit="1" customWidth="1"/>
    <col min="167" max="167" width="5" bestFit="1" customWidth="1"/>
    <col min="168" max="172" width="7" bestFit="1" customWidth="1"/>
    <col min="173" max="173" width="5" bestFit="1" customWidth="1"/>
    <col min="174" max="224" width="7" bestFit="1" customWidth="1"/>
    <col min="225" max="225" width="5" bestFit="1" customWidth="1"/>
    <col min="226" max="234" width="7" bestFit="1" customWidth="1"/>
    <col min="235" max="235" width="5" bestFit="1" customWidth="1"/>
    <col min="236" max="237" width="7" bestFit="1" customWidth="1"/>
    <col min="238" max="238" width="5" bestFit="1" customWidth="1"/>
    <col min="239" max="243" width="7" bestFit="1" customWidth="1"/>
    <col min="244" max="244" width="5" bestFit="1" customWidth="1"/>
    <col min="245" max="279" width="7" bestFit="1" customWidth="1"/>
    <col min="280" max="280" width="5" bestFit="1" customWidth="1"/>
    <col min="281" max="281" width="7" bestFit="1" customWidth="1"/>
    <col min="282" max="282" width="5" bestFit="1" customWidth="1"/>
    <col min="283" max="285" width="7" bestFit="1" customWidth="1"/>
    <col min="286" max="286" width="5" bestFit="1" customWidth="1"/>
    <col min="287" max="294" width="7" bestFit="1" customWidth="1"/>
    <col min="295" max="295" width="5" bestFit="1" customWidth="1"/>
    <col min="296" max="304" width="7" bestFit="1" customWidth="1"/>
    <col min="305" max="305" width="5" bestFit="1" customWidth="1"/>
    <col min="306" max="308" width="7" bestFit="1" customWidth="1"/>
    <col min="309" max="309" width="5" bestFit="1" customWidth="1"/>
    <col min="310" max="315" width="7" bestFit="1" customWidth="1"/>
    <col min="316" max="316" width="5" bestFit="1" customWidth="1"/>
    <col min="317" max="317" width="7" bestFit="1" customWidth="1"/>
    <col min="318" max="318" width="5" bestFit="1" customWidth="1"/>
    <col min="319" max="326" width="7" bestFit="1" customWidth="1"/>
    <col min="327" max="327" width="5" bestFit="1" customWidth="1"/>
    <col min="328" max="334" width="7" bestFit="1" customWidth="1"/>
    <col min="335" max="335" width="5" bestFit="1" customWidth="1"/>
    <col min="336" max="336" width="7" bestFit="1" customWidth="1"/>
    <col min="337" max="337" width="5" bestFit="1" customWidth="1"/>
    <col min="338" max="358" width="7" bestFit="1" customWidth="1"/>
    <col min="359" max="359" width="5" bestFit="1" customWidth="1"/>
    <col min="360" max="362" width="7" bestFit="1" customWidth="1"/>
    <col min="363" max="363" width="10.77734375" bestFit="1" customWidth="1"/>
  </cols>
  <sheetData>
    <row r="4" spans="1:12" ht="21" x14ac:dyDescent="0.4">
      <c r="A4" s="25" t="s">
        <v>38</v>
      </c>
      <c r="B4" s="25" t="s">
        <v>67</v>
      </c>
      <c r="J4" s="21" t="s">
        <v>68</v>
      </c>
      <c r="K4" s="21" t="s">
        <v>82</v>
      </c>
      <c r="L4" s="21" t="s">
        <v>66</v>
      </c>
    </row>
    <row r="5" spans="1:12" x14ac:dyDescent="0.3">
      <c r="A5" s="26">
        <v>2022</v>
      </c>
      <c r="B5" s="25">
        <v>87918.900000000009</v>
      </c>
      <c r="J5" s="11" t="s">
        <v>73</v>
      </c>
      <c r="K5" s="11">
        <v>7312.4000000000015</v>
      </c>
      <c r="L5" s="9"/>
    </row>
    <row r="6" spans="1:12" x14ac:dyDescent="0.3">
      <c r="A6" s="27" t="s">
        <v>42</v>
      </c>
      <c r="B6" s="25">
        <v>7083.2</v>
      </c>
      <c r="J6" s="11" t="s">
        <v>72</v>
      </c>
      <c r="K6" s="11">
        <v>7383.2000000000007</v>
      </c>
      <c r="L6" s="20">
        <f>(K6-K5)/K5</f>
        <v>9.6821836879819566E-3</v>
      </c>
    </row>
    <row r="7" spans="1:12" x14ac:dyDescent="0.3">
      <c r="A7" s="27" t="s">
        <v>44</v>
      </c>
      <c r="B7" s="25">
        <v>7075.9</v>
      </c>
      <c r="J7" s="11" t="s">
        <v>71</v>
      </c>
      <c r="K7" s="11">
        <v>7396.8</v>
      </c>
      <c r="L7" s="20">
        <f t="shared" ref="L7:L17" si="0">(K7-K6)/K6</f>
        <v>1.8420197204463448E-3</v>
      </c>
    </row>
    <row r="8" spans="1:12" x14ac:dyDescent="0.3">
      <c r="A8" s="27" t="s">
        <v>45</v>
      </c>
      <c r="B8" s="25">
        <v>7143.1000000000013</v>
      </c>
      <c r="J8" s="11" t="s">
        <v>69</v>
      </c>
      <c r="K8" s="11">
        <v>7406.1</v>
      </c>
      <c r="L8" s="20">
        <f t="shared" si="0"/>
        <v>1.2573004542505112E-3</v>
      </c>
    </row>
    <row r="9" spans="1:12" x14ac:dyDescent="0.3">
      <c r="A9" s="27" t="s">
        <v>46</v>
      </c>
      <c r="B9" s="25">
        <v>7235.1</v>
      </c>
      <c r="J9" s="11" t="s">
        <v>76</v>
      </c>
      <c r="K9" s="11">
        <v>7445.2</v>
      </c>
      <c r="L9" s="20">
        <f t="shared" si="0"/>
        <v>5.279431819716106E-3</v>
      </c>
    </row>
    <row r="10" spans="1:12" x14ac:dyDescent="0.3">
      <c r="A10" s="27" t="s">
        <v>34</v>
      </c>
      <c r="B10" s="25">
        <v>7312.4000000000015</v>
      </c>
      <c r="J10" s="11" t="s">
        <v>75</v>
      </c>
      <c r="K10" s="11">
        <v>7495.4</v>
      </c>
      <c r="L10" s="20">
        <f t="shared" si="0"/>
        <v>6.7425992585826867E-3</v>
      </c>
    </row>
    <row r="11" spans="1:12" x14ac:dyDescent="0.3">
      <c r="A11" s="27" t="s">
        <v>47</v>
      </c>
      <c r="B11" s="25">
        <v>7383.2000000000007</v>
      </c>
      <c r="J11" s="11" t="s">
        <v>74</v>
      </c>
      <c r="K11" s="11">
        <v>7491.9000000000005</v>
      </c>
      <c r="L11" s="20">
        <f t="shared" si="0"/>
        <v>-4.6695306454613372E-4</v>
      </c>
    </row>
    <row r="12" spans="1:12" x14ac:dyDescent="0.3">
      <c r="A12" s="27" t="s">
        <v>48</v>
      </c>
      <c r="B12" s="25">
        <v>7396.8</v>
      </c>
      <c r="J12" s="11" t="s">
        <v>70</v>
      </c>
      <c r="K12" s="11">
        <v>7450.6</v>
      </c>
      <c r="L12" s="20">
        <f t="shared" si="0"/>
        <v>-5.5126202965870043E-3</v>
      </c>
    </row>
    <row r="13" spans="1:12" x14ac:dyDescent="0.3">
      <c r="A13" s="27" t="s">
        <v>49</v>
      </c>
      <c r="B13" s="25">
        <v>7406.1</v>
      </c>
      <c r="J13" s="11" t="s">
        <v>79</v>
      </c>
      <c r="K13" s="11">
        <v>7482.8</v>
      </c>
      <c r="L13" s="20">
        <f t="shared" si="0"/>
        <v>4.3217995866104498E-3</v>
      </c>
    </row>
    <row r="14" spans="1:12" x14ac:dyDescent="0.3">
      <c r="A14" s="27" t="s">
        <v>50</v>
      </c>
      <c r="B14" s="25">
        <v>7445.2</v>
      </c>
      <c r="J14" s="11" t="s">
        <v>78</v>
      </c>
      <c r="K14" s="11">
        <v>7448.5</v>
      </c>
      <c r="L14" s="20">
        <f t="shared" si="0"/>
        <v>-4.5838456192869225E-3</v>
      </c>
    </row>
    <row r="15" spans="1:12" x14ac:dyDescent="0.3">
      <c r="A15" s="27" t="s">
        <v>51</v>
      </c>
      <c r="B15" s="25">
        <v>7495.4</v>
      </c>
      <c r="J15" s="11" t="s">
        <v>80</v>
      </c>
      <c r="K15" s="11">
        <v>7449</v>
      </c>
      <c r="L15" s="20">
        <f t="shared" si="0"/>
        <v>6.7127609585822652E-5</v>
      </c>
    </row>
    <row r="16" spans="1:12" x14ac:dyDescent="0.3">
      <c r="A16" s="27" t="s">
        <v>53</v>
      </c>
      <c r="B16" s="25">
        <v>7491.9000000000005</v>
      </c>
      <c r="J16" s="11" t="s">
        <v>77</v>
      </c>
      <c r="K16" s="11">
        <v>7485.1</v>
      </c>
      <c r="L16" s="20">
        <f t="shared" si="0"/>
        <v>4.8462880923614395E-3</v>
      </c>
    </row>
    <row r="17" spans="1:12" x14ac:dyDescent="0.3">
      <c r="A17" s="27" t="s">
        <v>54</v>
      </c>
      <c r="B17" s="25">
        <v>7450.6</v>
      </c>
      <c r="J17" s="11" t="s">
        <v>81</v>
      </c>
      <c r="K17" s="11">
        <v>7537.8000000000011</v>
      </c>
      <c r="L17" s="20">
        <f t="shared" si="0"/>
        <v>7.0406540994777259E-3</v>
      </c>
    </row>
    <row r="18" spans="1:12" x14ac:dyDescent="0.3">
      <c r="A18" s="26">
        <v>2023</v>
      </c>
      <c r="B18" s="25">
        <v>37403.200000000004</v>
      </c>
    </row>
    <row r="19" spans="1:12" x14ac:dyDescent="0.3">
      <c r="A19" s="27" t="s">
        <v>42</v>
      </c>
      <c r="B19" s="25">
        <v>7482.8</v>
      </c>
    </row>
    <row r="20" spans="1:12" x14ac:dyDescent="0.3">
      <c r="A20" s="27" t="s">
        <v>44</v>
      </c>
      <c r="B20" s="25">
        <v>7448.5</v>
      </c>
    </row>
    <row r="21" spans="1:12" x14ac:dyDescent="0.3">
      <c r="A21" s="27" t="s">
        <v>45</v>
      </c>
      <c r="B21" s="25">
        <v>7449</v>
      </c>
    </row>
    <row r="22" spans="1:12" x14ac:dyDescent="0.3">
      <c r="A22" s="27" t="s">
        <v>46</v>
      </c>
      <c r="B22" s="25">
        <v>7485.1</v>
      </c>
    </row>
    <row r="23" spans="1:12" x14ac:dyDescent="0.3">
      <c r="A23" s="27" t="s">
        <v>34</v>
      </c>
      <c r="B23" s="25">
        <v>7537.8000000000011</v>
      </c>
    </row>
    <row r="24" spans="1:12" x14ac:dyDescent="0.3">
      <c r="A24" s="28" t="s">
        <v>41</v>
      </c>
      <c r="B24" s="25">
        <v>125322.10000000002</v>
      </c>
    </row>
    <row r="30" spans="1:12" x14ac:dyDescent="0.3">
      <c r="A30" s="53" t="s">
        <v>140</v>
      </c>
    </row>
    <row r="32" spans="1:12" x14ac:dyDescent="0.3">
      <c r="A32" s="53" t="s">
        <v>141</v>
      </c>
    </row>
    <row r="33" spans="1:15" x14ac:dyDescent="0.3">
      <c r="B33" t="s">
        <v>139</v>
      </c>
    </row>
    <row r="35" spans="1:15" x14ac:dyDescent="0.3">
      <c r="A35" s="53" t="s">
        <v>135</v>
      </c>
      <c r="C35" t="s">
        <v>142</v>
      </c>
    </row>
    <row r="36" spans="1:15" x14ac:dyDescent="0.3">
      <c r="A36" s="53"/>
      <c r="C36" t="s">
        <v>143</v>
      </c>
    </row>
    <row r="38" spans="1:15" x14ac:dyDescent="0.3">
      <c r="A38" s="53"/>
    </row>
    <row r="42" spans="1:15" x14ac:dyDescent="0.3">
      <c r="A42" s="23" t="s">
        <v>38</v>
      </c>
      <c r="B42" s="22" t="s">
        <v>99</v>
      </c>
      <c r="C42" s="22" t="s">
        <v>100</v>
      </c>
      <c r="D42" s="22" t="s">
        <v>101</v>
      </c>
      <c r="E42" s="22" t="s">
        <v>102</v>
      </c>
      <c r="F42" s="22" t="s">
        <v>103</v>
      </c>
      <c r="G42" s="22" t="s">
        <v>104</v>
      </c>
      <c r="H42" s="22" t="s">
        <v>105</v>
      </c>
      <c r="I42" s="22" t="s">
        <v>106</v>
      </c>
      <c r="J42" s="22" t="s">
        <v>107</v>
      </c>
      <c r="K42" s="22" t="s">
        <v>108</v>
      </c>
      <c r="L42" s="22" t="s">
        <v>109</v>
      </c>
      <c r="M42" s="22" t="s">
        <v>110</v>
      </c>
      <c r="N42" s="22" t="s">
        <v>111</v>
      </c>
      <c r="O42" s="22" t="s">
        <v>112</v>
      </c>
    </row>
    <row r="43" spans="1:15" x14ac:dyDescent="0.3">
      <c r="A43" s="24" t="s">
        <v>72</v>
      </c>
      <c r="B43" s="22">
        <v>466.3</v>
      </c>
      <c r="C43" s="22">
        <v>660</v>
      </c>
      <c r="D43" s="22">
        <v>513.20000000000005</v>
      </c>
      <c r="E43" s="22">
        <v>497.6</v>
      </c>
      <c r="F43" s="22">
        <v>597.6</v>
      </c>
      <c r="G43" s="22">
        <v>509.59999999999997</v>
      </c>
      <c r="H43" s="22">
        <v>561.1</v>
      </c>
      <c r="I43" s="22">
        <v>492.5</v>
      </c>
      <c r="J43" s="22">
        <v>360.4</v>
      </c>
      <c r="K43" s="22">
        <v>559.5</v>
      </c>
      <c r="L43" s="22">
        <v>501.2</v>
      </c>
      <c r="M43" s="22">
        <v>552.1</v>
      </c>
      <c r="N43" s="22">
        <v>526.6</v>
      </c>
      <c r="O43" s="22">
        <v>585.5</v>
      </c>
    </row>
    <row r="44" spans="1:15" x14ac:dyDescent="0.3">
      <c r="A44" s="24" t="s">
        <v>81</v>
      </c>
      <c r="B44" s="22">
        <v>521.59999999999991</v>
      </c>
      <c r="C44" s="22">
        <v>645.20000000000005</v>
      </c>
      <c r="D44" s="22">
        <v>520.9</v>
      </c>
      <c r="E44" s="22">
        <v>538.5</v>
      </c>
      <c r="F44" s="22">
        <v>507.7</v>
      </c>
      <c r="G44" s="22">
        <v>517</v>
      </c>
      <c r="H44" s="22">
        <v>494.7</v>
      </c>
      <c r="I44" s="22">
        <v>527.4</v>
      </c>
      <c r="J44" s="22">
        <v>368.8</v>
      </c>
      <c r="K44" s="22">
        <v>650.9</v>
      </c>
      <c r="L44" s="22">
        <v>518</v>
      </c>
      <c r="M44" s="22">
        <v>583</v>
      </c>
      <c r="N44" s="22">
        <v>539</v>
      </c>
      <c r="O44" s="22">
        <v>605.1</v>
      </c>
    </row>
    <row r="47" spans="1:15" x14ac:dyDescent="0.3">
      <c r="I47" s="16" t="s">
        <v>38</v>
      </c>
      <c r="J47" s="17" t="s">
        <v>72</v>
      </c>
      <c r="K47" s="17" t="s">
        <v>81</v>
      </c>
      <c r="L47" s="16" t="s">
        <v>66</v>
      </c>
    </row>
    <row r="48" spans="1:15" ht="15.6" x14ac:dyDescent="0.3">
      <c r="I48" s="29" t="s">
        <v>99</v>
      </c>
      <c r="J48" s="29">
        <v>466.3</v>
      </c>
      <c r="K48" s="29">
        <v>521.59999999999991</v>
      </c>
      <c r="L48" s="15">
        <f>(K48-J48)/J48</f>
        <v>0.11859318035599377</v>
      </c>
    </row>
    <row r="49" spans="9:12" ht="15.6" x14ac:dyDescent="0.3">
      <c r="I49" s="29" t="s">
        <v>100</v>
      </c>
      <c r="J49" s="29">
        <v>660</v>
      </c>
      <c r="K49" s="29">
        <v>645.20000000000005</v>
      </c>
      <c r="L49" s="15">
        <f t="shared" ref="L49:L61" si="1">(K49-J49)/J49</f>
        <v>-2.2424242424242357E-2</v>
      </c>
    </row>
    <row r="50" spans="9:12" ht="15.6" x14ac:dyDescent="0.3">
      <c r="I50" s="29" t="s">
        <v>101</v>
      </c>
      <c r="J50" s="29">
        <v>513.20000000000005</v>
      </c>
      <c r="K50" s="29">
        <v>520.9</v>
      </c>
      <c r="L50" s="15">
        <f t="shared" si="1"/>
        <v>1.5003897116133926E-2</v>
      </c>
    </row>
    <row r="51" spans="9:12" ht="15.6" x14ac:dyDescent="0.3">
      <c r="I51" s="29" t="s">
        <v>102</v>
      </c>
      <c r="J51" s="29">
        <v>497.6</v>
      </c>
      <c r="K51" s="29">
        <v>538.5</v>
      </c>
      <c r="L51" s="15">
        <f t="shared" si="1"/>
        <v>8.2194533762057834E-2</v>
      </c>
    </row>
    <row r="52" spans="9:12" ht="15.6" x14ac:dyDescent="0.3">
      <c r="I52" s="29" t="s">
        <v>103</v>
      </c>
      <c r="J52" s="29">
        <v>597.6</v>
      </c>
      <c r="K52" s="29">
        <v>507.7</v>
      </c>
      <c r="L52" s="15">
        <f t="shared" si="1"/>
        <v>-0.15043507362784475</v>
      </c>
    </row>
    <row r="53" spans="9:12" ht="15.6" x14ac:dyDescent="0.3">
      <c r="I53" s="29" t="s">
        <v>104</v>
      </c>
      <c r="J53" s="29">
        <v>509.59999999999997</v>
      </c>
      <c r="K53" s="29">
        <v>517</v>
      </c>
      <c r="L53" s="15">
        <f t="shared" si="1"/>
        <v>1.4521193092621731E-2</v>
      </c>
    </row>
    <row r="54" spans="9:12" ht="15.6" x14ac:dyDescent="0.3">
      <c r="I54" s="29" t="s">
        <v>105</v>
      </c>
      <c r="J54" s="29">
        <v>561.1</v>
      </c>
      <c r="K54" s="29">
        <v>494.7</v>
      </c>
      <c r="L54" s="15">
        <f t="shared" si="1"/>
        <v>-0.11833897700944579</v>
      </c>
    </row>
    <row r="55" spans="9:12" ht="15.6" x14ac:dyDescent="0.3">
      <c r="I55" s="29" t="s">
        <v>106</v>
      </c>
      <c r="J55" s="29">
        <v>492.5</v>
      </c>
      <c r="K55" s="29">
        <v>527.4</v>
      </c>
      <c r="L55" s="15">
        <f t="shared" si="1"/>
        <v>7.0862944162436506E-2</v>
      </c>
    </row>
    <row r="56" spans="9:12" ht="15.6" x14ac:dyDescent="0.3">
      <c r="I56" s="29" t="s">
        <v>107</v>
      </c>
      <c r="J56" s="29">
        <v>360.4</v>
      </c>
      <c r="K56" s="29">
        <v>368.8</v>
      </c>
      <c r="L56" s="15">
        <f t="shared" si="1"/>
        <v>2.3307436182020073E-2</v>
      </c>
    </row>
    <row r="57" spans="9:12" ht="15.6" x14ac:dyDescent="0.3">
      <c r="I57" s="29" t="s">
        <v>108</v>
      </c>
      <c r="J57" s="29">
        <v>559.5</v>
      </c>
      <c r="K57" s="29">
        <v>650.9</v>
      </c>
      <c r="L57" s="15">
        <f t="shared" si="1"/>
        <v>0.16336014298480783</v>
      </c>
    </row>
    <row r="58" spans="9:12" ht="15.6" x14ac:dyDescent="0.3">
      <c r="I58" s="29" t="s">
        <v>109</v>
      </c>
      <c r="J58" s="29">
        <v>501.2</v>
      </c>
      <c r="K58" s="29">
        <v>518</v>
      </c>
      <c r="L58" s="15">
        <f t="shared" si="1"/>
        <v>3.3519553072625718E-2</v>
      </c>
    </row>
    <row r="59" spans="9:12" ht="15.6" x14ac:dyDescent="0.3">
      <c r="I59" s="29" t="s">
        <v>110</v>
      </c>
      <c r="J59" s="29">
        <v>552.1</v>
      </c>
      <c r="K59" s="29">
        <v>583</v>
      </c>
      <c r="L59" s="15">
        <f t="shared" si="1"/>
        <v>5.5968121717080196E-2</v>
      </c>
    </row>
    <row r="60" spans="9:12" ht="15.6" x14ac:dyDescent="0.3">
      <c r="I60" s="29" t="s">
        <v>111</v>
      </c>
      <c r="J60" s="29">
        <v>526.6</v>
      </c>
      <c r="K60" s="29">
        <v>539</v>
      </c>
      <c r="L60" s="15">
        <f t="shared" si="1"/>
        <v>2.3547284466388107E-2</v>
      </c>
    </row>
    <row r="61" spans="9:12" ht="15.6" x14ac:dyDescent="0.3">
      <c r="I61" s="29" t="s">
        <v>112</v>
      </c>
      <c r="J61" s="29">
        <v>585.5</v>
      </c>
      <c r="K61" s="29">
        <v>605.1</v>
      </c>
      <c r="L61" s="15">
        <f t="shared" si="1"/>
        <v>3.3475661827497907E-2</v>
      </c>
    </row>
    <row r="67" spans="1:3" x14ac:dyDescent="0.3">
      <c r="A67" s="53" t="s">
        <v>144</v>
      </c>
      <c r="B67" t="s">
        <v>145</v>
      </c>
    </row>
    <row r="68" spans="1:3" x14ac:dyDescent="0.3">
      <c r="A68" s="53" t="s">
        <v>138</v>
      </c>
      <c r="C68" t="s">
        <v>146</v>
      </c>
    </row>
    <row r="69" spans="1:3" x14ac:dyDescent="0.3">
      <c r="C69" t="s">
        <v>147</v>
      </c>
    </row>
  </sheetData>
  <phoneticPr fontId="18" type="noConversion"/>
  <conditionalFormatting sqref="L6:L17">
    <cfRule type="colorScale" priority="3">
      <colorScale>
        <cfvo type="min"/>
        <cfvo type="percentile" val="50"/>
        <cfvo type="max"/>
        <color rgb="FFF8696B"/>
        <color rgb="FFFFEB84"/>
        <color rgb="FF63BE7B"/>
      </colorScale>
    </cfRule>
  </conditionalFormatting>
  <conditionalFormatting sqref="L48:L61">
    <cfRule type="dataBar" priority="1">
      <dataBar>
        <cfvo type="min"/>
        <cfvo type="max"/>
        <color rgb="FF638EC6"/>
      </dataBar>
      <extLst>
        <ext xmlns:x14="http://schemas.microsoft.com/office/spreadsheetml/2009/9/main" uri="{B025F937-C7B1-47D3-B67F-A62EFF666E3E}">
          <x14:id>{04F81B3A-ABC3-48FC-90F5-3FC95E646CC6}</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04F81B3A-ABC3-48FC-90F5-3FC95E646CC6}">
            <x14:dataBar minLength="0" maxLength="100" gradient="0">
              <x14:cfvo type="autoMin"/>
              <x14:cfvo type="autoMax"/>
              <x14:negativeFillColor rgb="FFFF0000"/>
              <x14:axisColor rgb="FF000000"/>
            </x14:dataBar>
          </x14:cfRule>
          <xm:sqref>L48:L61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919E-D105-490B-9863-943465909DF6}">
  <dimension ref="A1:H27"/>
  <sheetViews>
    <sheetView showGridLines="0" zoomScaleNormal="100" workbookViewId="0">
      <selection activeCell="C27" sqref="C27"/>
    </sheetView>
  </sheetViews>
  <sheetFormatPr defaultRowHeight="14.4" x14ac:dyDescent="0.3"/>
  <cols>
    <col min="1" max="1" width="12.6640625" customWidth="1"/>
    <col min="2" max="2" width="13.5546875" customWidth="1"/>
    <col min="3" max="3" width="12.21875" bestFit="1" customWidth="1"/>
    <col min="6" max="6" width="9" customWidth="1"/>
    <col min="7" max="7" width="13.109375" bestFit="1" customWidth="1"/>
  </cols>
  <sheetData>
    <row r="1" spans="1:7" s="51" customFormat="1" ht="39.6" customHeight="1" x14ac:dyDescent="0.4">
      <c r="F1" s="51" t="s">
        <v>126</v>
      </c>
    </row>
    <row r="3" spans="1:7" s="8" customFormat="1" ht="18" x14ac:dyDescent="0.3">
      <c r="A3" s="39" t="s">
        <v>125</v>
      </c>
    </row>
    <row r="8" spans="1:7" x14ac:dyDescent="0.3">
      <c r="B8" s="32" t="s">
        <v>113</v>
      </c>
      <c r="C8" s="33" t="s">
        <v>114</v>
      </c>
      <c r="D8" s="33" t="s">
        <v>115</v>
      </c>
      <c r="E8" s="33" t="s">
        <v>119</v>
      </c>
      <c r="F8" s="33" t="s">
        <v>118</v>
      </c>
      <c r="G8" s="33" t="s">
        <v>66</v>
      </c>
    </row>
    <row r="9" spans="1:7" x14ac:dyDescent="0.3">
      <c r="B9" s="34">
        <v>43525</v>
      </c>
      <c r="C9" s="34">
        <v>43586</v>
      </c>
      <c r="D9" s="35" t="s">
        <v>116</v>
      </c>
      <c r="E9" s="35">
        <f>SUM('Main Data'!AF224:AF226,'Main Data'!AH224:AH226,'Main Data'!AI224:AI226)</f>
        <v>7763.4000000000005</v>
      </c>
      <c r="F9" s="35">
        <f>SUM('Main Data'!AF227:AF229,'Main Data'!AH227:AH229,'Main Data'!AI227:AI229)</f>
        <v>7864.2</v>
      </c>
      <c r="G9" s="36">
        <f>(F9-E9)/E9</f>
        <v>1.2984001854857314E-2</v>
      </c>
    </row>
    <row r="10" spans="1:7" x14ac:dyDescent="0.3">
      <c r="B10" s="34">
        <v>43617</v>
      </c>
      <c r="C10" s="34">
        <v>43678</v>
      </c>
      <c r="D10" s="35" t="s">
        <v>116</v>
      </c>
      <c r="E10" s="35">
        <f>SUM('Main Data'!AF230:AF232,'Main Data'!AH230:AH232,'Main Data'!AI230:AI232)</f>
        <v>7938.6999999999989</v>
      </c>
      <c r="F10" s="35">
        <f>SUM('Main Data'!AF236:AF238,'Main Data'!AH236:AH238,'Main Data'!AI236:AI238)</f>
        <v>8053.0000000000009</v>
      </c>
      <c r="G10" s="36">
        <f t="shared" ref="G10:G12" si="0">(F10-E10)/E10</f>
        <v>1.439782332119894E-2</v>
      </c>
    </row>
    <row r="11" spans="1:7" x14ac:dyDescent="0.3">
      <c r="B11" s="34">
        <v>43709</v>
      </c>
      <c r="C11" s="34">
        <v>43770</v>
      </c>
      <c r="D11" s="35" t="s">
        <v>116</v>
      </c>
      <c r="E11" s="35">
        <f>SUM('Main Data'!AF239:AF241,'Main Data'!AH239:AH241,'Main Data'!AI239:AI241)</f>
        <v>8095.6</v>
      </c>
      <c r="F11" s="35">
        <f>SUM('Main Data'!AF245:AF247,'Main Data'!AH245:AH247,'Main Data'!AI245:AI247)</f>
        <v>8277.4000000000015</v>
      </c>
      <c r="G11" s="36">
        <f t="shared" si="0"/>
        <v>2.2456643114778532E-2</v>
      </c>
    </row>
    <row r="12" spans="1:7" x14ac:dyDescent="0.3">
      <c r="B12" s="34">
        <v>43800</v>
      </c>
      <c r="C12" s="34">
        <v>43862</v>
      </c>
      <c r="D12" s="35" t="s">
        <v>116</v>
      </c>
      <c r="E12" s="35">
        <f>SUM('Main Data'!AF248:AF250,'Main Data'!AH248:AH250,'Main Data'!AI248:AI250)</f>
        <v>8389.6999999999989</v>
      </c>
      <c r="F12" s="35">
        <f>SUM('Main Data'!AF254:AF256,'Main Data'!AH254:AH256,'Main Data'!AI254:AI256)</f>
        <v>8318.6999999999989</v>
      </c>
      <c r="G12" s="36">
        <f t="shared" si="0"/>
        <v>-8.4627579055270158E-3</v>
      </c>
    </row>
    <row r="13" spans="1:7" x14ac:dyDescent="0.3">
      <c r="B13" s="9"/>
      <c r="C13" s="9"/>
      <c r="D13" s="38">
        <v>43891</v>
      </c>
      <c r="E13" s="9"/>
      <c r="F13" s="9"/>
      <c r="G13" s="31"/>
    </row>
    <row r="14" spans="1:7" x14ac:dyDescent="0.3">
      <c r="B14" s="34">
        <v>43922</v>
      </c>
      <c r="C14" s="34">
        <v>43983</v>
      </c>
      <c r="D14" s="35" t="s">
        <v>117</v>
      </c>
      <c r="E14" s="37">
        <f>SUM('Main Data'!AF260:AF262,'Main Data'!AH260:AH262,'Main Data'!AI260:AI262)</f>
        <v>8491.2933333333349</v>
      </c>
      <c r="F14" s="35">
        <f>SUM('Main Data'!AF266:AF268,'Main Data'!AH266:AH268,'Main Data'!AI266:AI268)</f>
        <v>8552.9</v>
      </c>
      <c r="G14" s="36">
        <f>(F14-E14)/E14</f>
        <v>7.2552748148297088E-3</v>
      </c>
    </row>
    <row r="15" spans="1:7" x14ac:dyDescent="0.3">
      <c r="B15" s="34">
        <v>44013</v>
      </c>
      <c r="C15" s="34">
        <v>44075</v>
      </c>
      <c r="D15" s="35" t="s">
        <v>117</v>
      </c>
      <c r="E15" s="35">
        <f>SUM('Main Data'!AF269:AF271,'Main Data'!AH269:AH271,'Main Data'!AI269:AI271)</f>
        <v>8552.9</v>
      </c>
      <c r="F15" s="35">
        <f>SUM('Main Data'!AF275:AF277,'Main Data'!AH275:AH277,'Main Data'!AI275:AI277)</f>
        <v>8717.0999999999985</v>
      </c>
      <c r="G15" s="36">
        <f t="shared" ref="G15:G17" si="1">(F15-E15)/E15</f>
        <v>1.9198166703691018E-2</v>
      </c>
    </row>
    <row r="16" spans="1:7" x14ac:dyDescent="0.3">
      <c r="B16" s="34">
        <v>44105</v>
      </c>
      <c r="C16" s="34">
        <v>44166</v>
      </c>
      <c r="D16" s="35" t="s">
        <v>117</v>
      </c>
      <c r="E16" s="35">
        <f>SUM('Main Data'!AF278:AF280,'Main Data'!AH278:AH280,'Main Data'!AI278:AI280)</f>
        <v>8839.3000000000011</v>
      </c>
      <c r="F16" s="35">
        <f>SUM('Main Data'!AF284:AF286,'Main Data'!AH284:AH286,'Main Data'!AI284:AI286)</f>
        <v>9035.1999999999989</v>
      </c>
      <c r="G16" s="36">
        <f t="shared" si="1"/>
        <v>2.2162388424422499E-2</v>
      </c>
    </row>
    <row r="17" spans="1:8" x14ac:dyDescent="0.3">
      <c r="B17" s="34">
        <v>44197</v>
      </c>
      <c r="C17" s="34">
        <v>44256</v>
      </c>
      <c r="D17" s="35" t="s">
        <v>117</v>
      </c>
      <c r="E17" s="35">
        <f>SUM('Main Data'!AF287:AF289,'Main Data'!AH287:AH289,'Main Data'!AI287:AI289)</f>
        <v>8955.4000000000015</v>
      </c>
      <c r="F17" s="35">
        <f>SUM('Main Data'!AF293:AF295,'Main Data'!AH293:AH295,'Main Data'!AI293:AI295)</f>
        <v>8881.5999999999985</v>
      </c>
      <c r="G17" s="36">
        <f t="shared" si="1"/>
        <v>-8.2408379301876968E-3</v>
      </c>
    </row>
    <row r="23" spans="1:8" x14ac:dyDescent="0.3">
      <c r="A23" s="53" t="s">
        <v>133</v>
      </c>
      <c r="B23" t="s">
        <v>148</v>
      </c>
    </row>
    <row r="25" spans="1:8" x14ac:dyDescent="0.3">
      <c r="A25" s="53" t="s">
        <v>149</v>
      </c>
      <c r="B25" t="s">
        <v>150</v>
      </c>
      <c r="H25" t="s">
        <v>124</v>
      </c>
    </row>
    <row r="27" spans="1:8" x14ac:dyDescent="0.3">
      <c r="A27" s="53" t="s">
        <v>151</v>
      </c>
      <c r="C27" t="s">
        <v>152</v>
      </c>
    </row>
  </sheetData>
  <conditionalFormatting sqref="G9:G17">
    <cfRule type="dataBar" priority="1">
      <dataBar>
        <cfvo type="min"/>
        <cfvo type="max"/>
        <color rgb="FF63C384"/>
      </dataBar>
      <extLst>
        <ext xmlns:x14="http://schemas.microsoft.com/office/spreadsheetml/2009/9/main" uri="{B025F937-C7B1-47D3-B67F-A62EFF666E3E}">
          <x14:id>{4A9410DA-99F5-479E-ACA0-BA5B7582E887}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A9410DA-99F5-479E-ACA0-BA5B7582E887}">
            <x14:dataBar minLength="0" maxLength="100" border="1" negativeBarBorderColorSameAsPositive="0">
              <x14:cfvo type="autoMin"/>
              <x14:cfvo type="autoMax"/>
              <x14:borderColor rgb="FF63C384"/>
              <x14:negativeFillColor rgb="FFFF0000"/>
              <x14:negativeBorderColor rgb="FFFF0000"/>
              <x14:axisColor rgb="FF000000"/>
            </x14:dataBar>
          </x14:cfRule>
          <xm:sqref>G9:G17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0CC0-E5BB-43F0-849B-5355A0D2B091}">
  <dimension ref="A5:AE38"/>
  <sheetViews>
    <sheetView showGridLines="0" workbookViewId="0">
      <selection activeCell="D51" sqref="D51"/>
    </sheetView>
  </sheetViews>
  <sheetFormatPr defaultRowHeight="14.4" x14ac:dyDescent="0.3"/>
  <cols>
    <col min="1" max="1" width="30.44140625" bestFit="1" customWidth="1"/>
    <col min="2" max="2" width="12.77734375" customWidth="1"/>
    <col min="3" max="3" width="13.77734375" customWidth="1"/>
    <col min="4" max="4" width="11.77734375" customWidth="1"/>
    <col min="5" max="5" width="10.21875" customWidth="1"/>
    <col min="6" max="6" width="10.109375" customWidth="1"/>
    <col min="7" max="7" width="10.21875" customWidth="1"/>
    <col min="8" max="8" width="9.5546875" customWidth="1"/>
    <col min="9" max="9" width="12" customWidth="1"/>
    <col min="10" max="10" width="15.44140625" customWidth="1"/>
    <col min="11" max="11" width="13.33203125" customWidth="1"/>
    <col min="12" max="12" width="15.21875" customWidth="1"/>
    <col min="13" max="13" width="15" customWidth="1"/>
    <col min="14" max="14" width="12.77734375" customWidth="1"/>
    <col min="15" max="15" width="13.77734375" customWidth="1"/>
    <col min="16" max="16" width="11.77734375" customWidth="1"/>
    <col min="17" max="17" width="10.21875" customWidth="1"/>
    <col min="18" max="18" width="10.109375" customWidth="1"/>
    <col min="19" max="19" width="10.21875" customWidth="1"/>
    <col min="20" max="20" width="9.5546875" bestFit="1" customWidth="1"/>
    <col min="21" max="21" width="12" bestFit="1" customWidth="1"/>
    <col min="22" max="22" width="15.44140625" bestFit="1" customWidth="1"/>
    <col min="23" max="23" width="13.33203125" bestFit="1" customWidth="1"/>
    <col min="24" max="24" width="15.21875" bestFit="1" customWidth="1"/>
    <col min="25" max="25" width="15" bestFit="1" customWidth="1"/>
    <col min="26" max="26" width="12.77734375" bestFit="1" customWidth="1"/>
    <col min="27" max="27" width="13.77734375" bestFit="1" customWidth="1"/>
    <col min="28" max="28" width="11.77734375" bestFit="1" customWidth="1"/>
    <col min="29" max="29" width="10.21875" bestFit="1" customWidth="1"/>
    <col min="30" max="30" width="10.109375" bestFit="1" customWidth="1"/>
    <col min="31" max="31" width="12.6640625" bestFit="1" customWidth="1"/>
  </cols>
  <sheetData>
    <row r="5" spans="1:31" s="49" customFormat="1" ht="18" x14ac:dyDescent="0.35">
      <c r="A5" s="48" t="s">
        <v>57</v>
      </c>
      <c r="B5" s="47" t="s">
        <v>87</v>
      </c>
      <c r="C5" s="47" t="s">
        <v>86</v>
      </c>
      <c r="D5" s="47" t="s">
        <v>90</v>
      </c>
      <c r="E5" s="47" t="s">
        <v>83</v>
      </c>
      <c r="F5" s="47" t="s">
        <v>91</v>
      </c>
      <c r="G5" s="47" t="s">
        <v>89</v>
      </c>
      <c r="H5" s="47" t="s">
        <v>88</v>
      </c>
      <c r="I5" s="47" t="s">
        <v>84</v>
      </c>
      <c r="J5" s="47" t="s">
        <v>94</v>
      </c>
      <c r="K5" s="47" t="s">
        <v>93</v>
      </c>
      <c r="L5" s="47" t="s">
        <v>92</v>
      </c>
      <c r="M5" s="47" t="s">
        <v>85</v>
      </c>
      <c r="N5" s="47" t="s">
        <v>97</v>
      </c>
      <c r="O5" s="47" t="s">
        <v>96</v>
      </c>
      <c r="P5" s="47" t="s">
        <v>98</v>
      </c>
      <c r="Q5" s="47" t="s">
        <v>95</v>
      </c>
      <c r="R5" s="47" t="s">
        <v>73</v>
      </c>
      <c r="S5" s="47" t="s">
        <v>72</v>
      </c>
      <c r="T5" s="47" t="s">
        <v>71</v>
      </c>
      <c r="U5" s="47" t="s">
        <v>69</v>
      </c>
      <c r="V5" s="47" t="s">
        <v>76</v>
      </c>
      <c r="W5" s="47" t="s">
        <v>75</v>
      </c>
      <c r="X5" s="47" t="s">
        <v>74</v>
      </c>
      <c r="Y5" s="47" t="s">
        <v>70</v>
      </c>
      <c r="Z5" s="47" t="s">
        <v>79</v>
      </c>
      <c r="AA5" s="47" t="s">
        <v>78</v>
      </c>
      <c r="AB5" s="47" t="s">
        <v>80</v>
      </c>
      <c r="AC5" s="47" t="s">
        <v>77</v>
      </c>
      <c r="AD5" s="47" t="s">
        <v>81</v>
      </c>
      <c r="AE5" s="46" t="s">
        <v>121</v>
      </c>
    </row>
    <row r="6" spans="1:31" ht="15.6" x14ac:dyDescent="0.3">
      <c r="A6" s="50" t="s">
        <v>120</v>
      </c>
      <c r="B6" s="42">
        <v>3918.56</v>
      </c>
      <c r="C6" s="43">
        <v>4399.41</v>
      </c>
      <c r="D6" s="44">
        <v>4646.3599999999997</v>
      </c>
      <c r="E6" s="44">
        <v>4684.6400000000003</v>
      </c>
      <c r="F6" s="44">
        <v>4870.9799999999996</v>
      </c>
      <c r="G6" s="44">
        <v>5281.48</v>
      </c>
      <c r="H6" s="44">
        <v>5460.9</v>
      </c>
      <c r="I6" s="44">
        <v>5108.7299999999996</v>
      </c>
      <c r="J6" s="44">
        <v>5359.17</v>
      </c>
      <c r="K6" s="44">
        <v>6146.58</v>
      </c>
      <c r="L6" s="44">
        <v>5952.69</v>
      </c>
      <c r="M6" s="44">
        <v>5504.55</v>
      </c>
      <c r="N6" s="44">
        <v>6247.71</v>
      </c>
      <c r="O6" s="44">
        <v>7018.51</v>
      </c>
      <c r="P6" s="44">
        <v>8569.8799999999992</v>
      </c>
      <c r="Q6" s="44">
        <v>7877.96</v>
      </c>
      <c r="R6" s="44">
        <v>8511.74</v>
      </c>
      <c r="S6" s="44">
        <v>9119.5499999999993</v>
      </c>
      <c r="T6" s="44">
        <v>8366.39</v>
      </c>
      <c r="U6" s="44">
        <v>7634.9</v>
      </c>
      <c r="V6" s="44">
        <v>7079.45</v>
      </c>
      <c r="W6" s="44">
        <v>7437.13</v>
      </c>
      <c r="X6" s="44">
        <v>7150.11</v>
      </c>
      <c r="Y6" s="44">
        <v>6429.95</v>
      </c>
      <c r="Z6" s="44">
        <v>6584.69</v>
      </c>
      <c r="AA6" s="44">
        <v>6628.99</v>
      </c>
      <c r="AB6" s="44">
        <v>6292.9</v>
      </c>
      <c r="AC6" s="44">
        <v>6763.43</v>
      </c>
      <c r="AD6" s="44">
        <v>6102.52</v>
      </c>
      <c r="AE6" s="45"/>
    </row>
    <row r="7" spans="1:31" ht="15.6" x14ac:dyDescent="0.3">
      <c r="A7" s="50" t="s">
        <v>3</v>
      </c>
      <c r="B7" s="40">
        <v>436.29999999999995</v>
      </c>
      <c r="C7" s="40">
        <v>434.7</v>
      </c>
      <c r="D7" s="40">
        <v>434.1</v>
      </c>
      <c r="E7" s="40">
        <v>434.59999999999997</v>
      </c>
      <c r="F7" s="40">
        <v>440.2</v>
      </c>
      <c r="G7" s="40">
        <v>441.49999999999994</v>
      </c>
      <c r="H7" s="41">
        <v>440.6</v>
      </c>
      <c r="I7" s="41">
        <v>440.80000000000007</v>
      </c>
      <c r="J7" s="41">
        <v>441.30000000000007</v>
      </c>
      <c r="K7" s="41">
        <v>443.6</v>
      </c>
      <c r="L7" s="41">
        <v>446.09999999999997</v>
      </c>
      <c r="M7" s="41">
        <v>447.7</v>
      </c>
      <c r="N7" s="41">
        <v>450</v>
      </c>
      <c r="O7" s="41">
        <v>451.3</v>
      </c>
      <c r="P7" s="41">
        <v>455.2</v>
      </c>
      <c r="Q7" s="41">
        <v>460.1</v>
      </c>
      <c r="R7" s="41">
        <v>463.70000000000005</v>
      </c>
      <c r="S7" s="41">
        <v>466.3</v>
      </c>
      <c r="T7" s="41">
        <v>471</v>
      </c>
      <c r="U7" s="41">
        <v>481.90000000000003</v>
      </c>
      <c r="V7" s="41">
        <v>491.3</v>
      </c>
      <c r="W7" s="41">
        <v>496.3</v>
      </c>
      <c r="X7" s="41">
        <v>502.70000000000005</v>
      </c>
      <c r="Y7" s="41">
        <v>508.2</v>
      </c>
      <c r="Z7" s="41">
        <v>521.1</v>
      </c>
      <c r="AA7" s="41">
        <v>523.29999999999995</v>
      </c>
      <c r="AB7" s="41">
        <v>523.4</v>
      </c>
      <c r="AC7" s="41">
        <v>521.90000000000009</v>
      </c>
      <c r="AD7" s="41">
        <v>521.59999999999991</v>
      </c>
      <c r="AE7" s="41">
        <f>CORREL(B7:AD7,$B$6:$AD$6)</f>
        <v>0.41603147226322396</v>
      </c>
    </row>
    <row r="8" spans="1:31" ht="15.6" x14ac:dyDescent="0.3">
      <c r="A8" s="50" t="s">
        <v>4</v>
      </c>
      <c r="B8" s="40">
        <v>572.4</v>
      </c>
      <c r="C8" s="41">
        <v>561.70000000000005</v>
      </c>
      <c r="D8" s="41">
        <v>579.09999999999991</v>
      </c>
      <c r="E8" s="41">
        <v>596</v>
      </c>
      <c r="F8" s="41">
        <v>603.29999999999995</v>
      </c>
      <c r="G8" s="41">
        <v>607.6</v>
      </c>
      <c r="H8" s="41">
        <v>622.20000000000005</v>
      </c>
      <c r="I8" s="41">
        <v>613.70000000000005</v>
      </c>
      <c r="J8" s="41">
        <v>613.5</v>
      </c>
      <c r="K8" s="41">
        <v>615.5</v>
      </c>
      <c r="L8" s="41">
        <v>606.30000000000007</v>
      </c>
      <c r="M8" s="41">
        <v>598</v>
      </c>
      <c r="N8" s="41">
        <v>597.70000000000005</v>
      </c>
      <c r="O8" s="41">
        <v>603.9</v>
      </c>
      <c r="P8" s="41">
        <v>634.5</v>
      </c>
      <c r="Q8" s="41">
        <v>637.29999999999995</v>
      </c>
      <c r="R8" s="41">
        <v>652.9</v>
      </c>
      <c r="S8" s="41">
        <v>660</v>
      </c>
      <c r="T8" s="41">
        <v>640.9</v>
      </c>
      <c r="U8" s="41">
        <v>621.5</v>
      </c>
      <c r="V8" s="41">
        <v>629.59999999999991</v>
      </c>
      <c r="W8" s="41">
        <v>634.6</v>
      </c>
      <c r="X8" s="41">
        <v>630</v>
      </c>
      <c r="Y8" s="41">
        <v>628.79999999999995</v>
      </c>
      <c r="Z8" s="41">
        <v>634.20000000000005</v>
      </c>
      <c r="AA8" s="41">
        <v>625.09999999999991</v>
      </c>
      <c r="AB8" s="41">
        <v>625.09999999999991</v>
      </c>
      <c r="AC8" s="41">
        <v>629.90000000000009</v>
      </c>
      <c r="AD8" s="41">
        <v>645.20000000000005</v>
      </c>
      <c r="AE8" s="41">
        <f t="shared" ref="AE8:AE32" si="0">CORREL(B8:AD8,$B$6:$AD$6)</f>
        <v>0.83095650280707667</v>
      </c>
    </row>
    <row r="9" spans="1:31" ht="15.6" x14ac:dyDescent="0.3">
      <c r="A9" s="50" t="s">
        <v>5</v>
      </c>
      <c r="B9" s="40">
        <v>527.1</v>
      </c>
      <c r="C9" s="41">
        <v>506.59999999999997</v>
      </c>
      <c r="D9" s="41">
        <v>491.7</v>
      </c>
      <c r="E9" s="41">
        <v>494.4</v>
      </c>
      <c r="F9" s="41">
        <v>511.90000000000003</v>
      </c>
      <c r="G9" s="41">
        <v>542.79999999999995</v>
      </c>
      <c r="H9" s="41">
        <v>547.59999999999991</v>
      </c>
      <c r="I9" s="41">
        <v>523.40000000000009</v>
      </c>
      <c r="J9" s="41">
        <v>518.90000000000009</v>
      </c>
      <c r="K9" s="41">
        <v>514.29999999999995</v>
      </c>
      <c r="L9" s="41">
        <v>519.9</v>
      </c>
      <c r="M9" s="41">
        <v>534.4</v>
      </c>
      <c r="N9" s="41">
        <v>536.90000000000009</v>
      </c>
      <c r="O9" s="41">
        <v>527.70000000000005</v>
      </c>
      <c r="P9" s="41">
        <v>503.40000000000003</v>
      </c>
      <c r="Q9" s="41">
        <v>493.6</v>
      </c>
      <c r="R9" s="41">
        <v>487.9</v>
      </c>
      <c r="S9" s="41">
        <v>513.20000000000005</v>
      </c>
      <c r="T9" s="41">
        <v>526.09999999999991</v>
      </c>
      <c r="U9" s="41">
        <v>508.09999999999997</v>
      </c>
      <c r="V9" s="41">
        <v>509.59999999999997</v>
      </c>
      <c r="W9" s="41">
        <v>513.1</v>
      </c>
      <c r="X9" s="41">
        <v>544.79999999999995</v>
      </c>
      <c r="Y9" s="41">
        <v>571.20000000000005</v>
      </c>
      <c r="Z9" s="41">
        <v>584.4</v>
      </c>
      <c r="AA9" s="41">
        <v>526.29999999999995</v>
      </c>
      <c r="AB9" s="41">
        <v>526.29999999999995</v>
      </c>
      <c r="AC9" s="41">
        <v>509.9</v>
      </c>
      <c r="AD9" s="41">
        <v>520.9</v>
      </c>
      <c r="AE9" s="41">
        <f t="shared" si="0"/>
        <v>-0.11687194687581573</v>
      </c>
    </row>
    <row r="10" spans="1:31" ht="15.6" x14ac:dyDescent="0.3">
      <c r="A10" s="50" t="s">
        <v>6</v>
      </c>
      <c r="B10" s="40">
        <v>462.5</v>
      </c>
      <c r="C10" s="41">
        <v>464.2</v>
      </c>
      <c r="D10" s="41">
        <v>465</v>
      </c>
      <c r="E10" s="41">
        <v>466.4</v>
      </c>
      <c r="F10" s="41">
        <v>468.4</v>
      </c>
      <c r="G10" s="41">
        <v>468.8</v>
      </c>
      <c r="H10" s="41">
        <v>472.79999999999995</v>
      </c>
      <c r="I10" s="41">
        <v>475.1</v>
      </c>
      <c r="J10" s="41">
        <v>475.5</v>
      </c>
      <c r="K10" s="41">
        <v>476.3</v>
      </c>
      <c r="L10" s="41">
        <v>478</v>
      </c>
      <c r="M10" s="41">
        <v>479.70000000000005</v>
      </c>
      <c r="N10" s="41">
        <v>481.4</v>
      </c>
      <c r="O10" s="41">
        <v>481.99999999999994</v>
      </c>
      <c r="P10" s="41">
        <v>486.8</v>
      </c>
      <c r="Q10" s="41">
        <v>491.9</v>
      </c>
      <c r="R10" s="41">
        <v>494.9</v>
      </c>
      <c r="S10" s="41">
        <v>497.6</v>
      </c>
      <c r="T10" s="41">
        <v>500</v>
      </c>
      <c r="U10" s="41">
        <v>504.4</v>
      </c>
      <c r="V10" s="41">
        <v>509.3</v>
      </c>
      <c r="W10" s="41">
        <v>512.79999999999995</v>
      </c>
      <c r="X10" s="41">
        <v>516.90000000000009</v>
      </c>
      <c r="Y10" s="41">
        <v>520.9</v>
      </c>
      <c r="Z10" s="41">
        <v>524.1</v>
      </c>
      <c r="AA10" s="41">
        <v>532.20000000000005</v>
      </c>
      <c r="AB10" s="41">
        <v>532.20000000000005</v>
      </c>
      <c r="AC10" s="41">
        <v>535.4</v>
      </c>
      <c r="AD10" s="41">
        <v>538.5</v>
      </c>
      <c r="AE10" s="41">
        <f t="shared" si="0"/>
        <v>0.5018519185957494</v>
      </c>
    </row>
    <row r="11" spans="1:31" ht="15.6" x14ac:dyDescent="0.3">
      <c r="A11" s="50" t="s">
        <v>7</v>
      </c>
      <c r="B11" s="40">
        <v>449.79999999999995</v>
      </c>
      <c r="C11" s="41">
        <v>473.09999999999997</v>
      </c>
      <c r="D11" s="41">
        <v>488.5</v>
      </c>
      <c r="E11" s="41">
        <v>506.70000000000005</v>
      </c>
      <c r="F11" s="41">
        <v>531.90000000000009</v>
      </c>
      <c r="G11" s="41">
        <v>546.29999999999995</v>
      </c>
      <c r="H11" s="41">
        <v>541.4</v>
      </c>
      <c r="I11" s="41">
        <v>553.9</v>
      </c>
      <c r="J11" s="41">
        <v>558.5</v>
      </c>
      <c r="K11" s="41">
        <v>566</v>
      </c>
      <c r="L11" s="41">
        <v>564.30000000000007</v>
      </c>
      <c r="M11" s="41">
        <v>556.9</v>
      </c>
      <c r="N11" s="41">
        <v>548.29999999999995</v>
      </c>
      <c r="O11" s="41">
        <v>549</v>
      </c>
      <c r="P11" s="41">
        <v>577.70000000000005</v>
      </c>
      <c r="Q11" s="41">
        <v>592.9</v>
      </c>
      <c r="R11" s="41">
        <v>601.79999999999995</v>
      </c>
      <c r="S11" s="41">
        <v>597.6</v>
      </c>
      <c r="T11" s="41">
        <v>582.79999999999995</v>
      </c>
      <c r="U11" s="41">
        <v>573</v>
      </c>
      <c r="V11" s="41">
        <v>562.09999999999991</v>
      </c>
      <c r="W11" s="41">
        <v>555.79999999999995</v>
      </c>
      <c r="X11" s="41">
        <v>562.9</v>
      </c>
      <c r="Y11" s="41">
        <v>561.5</v>
      </c>
      <c r="Z11" s="41">
        <v>557.79999999999995</v>
      </c>
      <c r="AA11" s="41">
        <v>534.90000000000009</v>
      </c>
      <c r="AB11" s="41">
        <v>534.70000000000005</v>
      </c>
      <c r="AC11" s="41">
        <v>522.1</v>
      </c>
      <c r="AD11" s="41">
        <v>507.70000000000005</v>
      </c>
      <c r="AE11" s="41">
        <f t="shared" si="0"/>
        <v>0.79953124818218602</v>
      </c>
    </row>
    <row r="12" spans="1:31" ht="15.6" x14ac:dyDescent="0.3">
      <c r="A12" s="50" t="s">
        <v>8</v>
      </c>
      <c r="B12" s="40">
        <v>449.20000000000005</v>
      </c>
      <c r="C12" s="41">
        <v>452.5</v>
      </c>
      <c r="D12" s="41">
        <v>461.5</v>
      </c>
      <c r="E12" s="41">
        <v>493.79999999999995</v>
      </c>
      <c r="F12" s="41">
        <v>501.9</v>
      </c>
      <c r="G12" s="41">
        <v>494.70000000000005</v>
      </c>
      <c r="H12" s="41">
        <v>492.5</v>
      </c>
      <c r="I12" s="41">
        <v>473.8</v>
      </c>
      <c r="J12" s="41">
        <v>470.59999999999997</v>
      </c>
      <c r="K12" s="41">
        <v>467.59999999999997</v>
      </c>
      <c r="L12" s="41">
        <v>470</v>
      </c>
      <c r="M12" s="41">
        <v>465.20000000000005</v>
      </c>
      <c r="N12" s="41">
        <v>461.4</v>
      </c>
      <c r="O12" s="41">
        <v>461.5</v>
      </c>
      <c r="P12" s="41">
        <v>473.1</v>
      </c>
      <c r="Q12" s="41">
        <v>518.20000000000005</v>
      </c>
      <c r="R12" s="41">
        <v>513.5</v>
      </c>
      <c r="S12" s="41">
        <v>509.59999999999997</v>
      </c>
      <c r="T12" s="41">
        <v>523.29999999999995</v>
      </c>
      <c r="U12" s="41">
        <v>519.19999999999993</v>
      </c>
      <c r="V12" s="41">
        <v>497.3</v>
      </c>
      <c r="W12" s="41">
        <v>491.7</v>
      </c>
      <c r="X12" s="41">
        <v>482.4</v>
      </c>
      <c r="Y12" s="41">
        <v>474.2</v>
      </c>
      <c r="Z12" s="41">
        <v>475.1</v>
      </c>
      <c r="AA12" s="41">
        <v>508.79999999999995</v>
      </c>
      <c r="AB12" s="41">
        <v>508.79999999999995</v>
      </c>
      <c r="AC12" s="41">
        <v>529.20000000000005</v>
      </c>
      <c r="AD12" s="41">
        <v>517</v>
      </c>
      <c r="AE12" s="41">
        <f t="shared" si="0"/>
        <v>0.53396409375410292</v>
      </c>
    </row>
    <row r="13" spans="1:31" ht="15.6" x14ac:dyDescent="0.3">
      <c r="A13" s="50" t="s">
        <v>9</v>
      </c>
      <c r="B13" s="40">
        <v>588.79999999999995</v>
      </c>
      <c r="C13" s="41">
        <v>489.9</v>
      </c>
      <c r="D13" s="41">
        <v>456.6</v>
      </c>
      <c r="E13" s="41">
        <v>440.79999999999995</v>
      </c>
      <c r="F13" s="41">
        <v>452.79999999999995</v>
      </c>
      <c r="G13" s="41">
        <v>476.29999999999995</v>
      </c>
      <c r="H13" s="41">
        <v>503.40000000000003</v>
      </c>
      <c r="I13" s="41">
        <v>499.40000000000003</v>
      </c>
      <c r="J13" s="41">
        <v>497.2</v>
      </c>
      <c r="K13" s="41">
        <v>570.1</v>
      </c>
      <c r="L13" s="41">
        <v>612.20000000000005</v>
      </c>
      <c r="M13" s="41">
        <v>580.1</v>
      </c>
      <c r="N13" s="41">
        <v>537.09999999999991</v>
      </c>
      <c r="O13" s="41">
        <v>522.9</v>
      </c>
      <c r="P13" s="41">
        <v>511.1</v>
      </c>
      <c r="Q13" s="41">
        <v>510.49999999999994</v>
      </c>
      <c r="R13" s="41">
        <v>538.5</v>
      </c>
      <c r="S13" s="41">
        <v>561.1</v>
      </c>
      <c r="T13" s="41">
        <v>559.20000000000005</v>
      </c>
      <c r="U13" s="41">
        <v>572.9</v>
      </c>
      <c r="V13" s="41">
        <v>589.5</v>
      </c>
      <c r="W13" s="41">
        <v>613.09999999999991</v>
      </c>
      <c r="X13" s="41">
        <v>560.20000000000005</v>
      </c>
      <c r="Y13" s="41">
        <v>488.79999999999995</v>
      </c>
      <c r="Z13" s="41">
        <v>472.1</v>
      </c>
      <c r="AA13" s="41">
        <v>469.40000000000003</v>
      </c>
      <c r="AB13" s="41">
        <v>469.6</v>
      </c>
      <c r="AC13" s="41">
        <v>478.1</v>
      </c>
      <c r="AD13" s="41">
        <v>494.7</v>
      </c>
      <c r="AE13" s="41">
        <f t="shared" si="0"/>
        <v>0.34375917043768711</v>
      </c>
    </row>
    <row r="14" spans="1:31" ht="15.6" x14ac:dyDescent="0.3">
      <c r="A14" s="50" t="s">
        <v>10</v>
      </c>
      <c r="B14" s="40">
        <v>482</v>
      </c>
      <c r="C14" s="41">
        <v>476.90000000000003</v>
      </c>
      <c r="D14" s="41">
        <v>480.09999999999997</v>
      </c>
      <c r="E14" s="41">
        <v>485.59999999999997</v>
      </c>
      <c r="F14" s="41">
        <v>496.4</v>
      </c>
      <c r="G14" s="41">
        <v>498.4</v>
      </c>
      <c r="H14" s="41">
        <v>492.29999999999995</v>
      </c>
      <c r="I14" s="41">
        <v>491.4</v>
      </c>
      <c r="J14" s="41">
        <v>492.5</v>
      </c>
      <c r="K14" s="41">
        <v>495.7</v>
      </c>
      <c r="L14" s="41">
        <v>495.8</v>
      </c>
      <c r="M14" s="41">
        <v>493.1</v>
      </c>
      <c r="N14" s="41">
        <v>491.70000000000005</v>
      </c>
      <c r="O14" s="41">
        <v>490.8</v>
      </c>
      <c r="P14" s="41">
        <v>491.5</v>
      </c>
      <c r="Q14" s="41">
        <v>493.8</v>
      </c>
      <c r="R14" s="41">
        <v>493.8</v>
      </c>
      <c r="S14" s="41">
        <v>492.5</v>
      </c>
      <c r="T14" s="41">
        <v>492.7</v>
      </c>
      <c r="U14" s="41">
        <v>501.59999999999997</v>
      </c>
      <c r="V14" s="41">
        <v>507.29999999999995</v>
      </c>
      <c r="W14" s="41">
        <v>509.40000000000003</v>
      </c>
      <c r="X14" s="41">
        <v>511.7</v>
      </c>
      <c r="Y14" s="41">
        <v>512.6</v>
      </c>
      <c r="Z14" s="41">
        <v>512.79999999999995</v>
      </c>
      <c r="AA14" s="41">
        <v>513.6</v>
      </c>
      <c r="AB14" s="41">
        <v>513.79999999999995</v>
      </c>
      <c r="AC14" s="41">
        <v>520.9</v>
      </c>
      <c r="AD14" s="41">
        <v>527.4</v>
      </c>
      <c r="AE14" s="41">
        <f t="shared" si="0"/>
        <v>0.30271376206574113</v>
      </c>
    </row>
    <row r="15" spans="1:31" ht="15.6" x14ac:dyDescent="0.3">
      <c r="A15" s="50" t="s">
        <v>11</v>
      </c>
      <c r="B15" s="40">
        <v>344.7</v>
      </c>
      <c r="C15" s="41">
        <v>339.5</v>
      </c>
      <c r="D15" s="41">
        <v>338.6</v>
      </c>
      <c r="E15" s="41">
        <v>340.1</v>
      </c>
      <c r="F15" s="41">
        <v>345</v>
      </c>
      <c r="G15" s="41">
        <v>345.79999999999995</v>
      </c>
      <c r="H15" s="41">
        <v>344.1</v>
      </c>
      <c r="I15" s="41">
        <v>355.3</v>
      </c>
      <c r="J15" s="41">
        <v>359.4</v>
      </c>
      <c r="K15" s="41">
        <v>366</v>
      </c>
      <c r="L15" s="41">
        <v>367.6</v>
      </c>
      <c r="M15" s="41">
        <v>363.5</v>
      </c>
      <c r="N15" s="41">
        <v>360.6</v>
      </c>
      <c r="O15" s="41">
        <v>357.6</v>
      </c>
      <c r="P15" s="41">
        <v>357.2</v>
      </c>
      <c r="Q15" s="41">
        <v>357.7</v>
      </c>
      <c r="R15" s="41">
        <v>359.8</v>
      </c>
      <c r="S15" s="41">
        <v>360.4</v>
      </c>
      <c r="T15" s="41">
        <v>360.7</v>
      </c>
      <c r="U15" s="41">
        <v>363.3</v>
      </c>
      <c r="V15" s="41">
        <v>365.5</v>
      </c>
      <c r="W15" s="41">
        <v>366.4</v>
      </c>
      <c r="X15" s="41">
        <v>367</v>
      </c>
      <c r="Y15" s="41">
        <v>366.1</v>
      </c>
      <c r="Z15" s="41">
        <v>364.1</v>
      </c>
      <c r="AA15" s="41">
        <v>361</v>
      </c>
      <c r="AB15" s="41">
        <v>361</v>
      </c>
      <c r="AC15" s="41">
        <v>364.8</v>
      </c>
      <c r="AD15" s="41">
        <v>368.8</v>
      </c>
      <c r="AE15" s="41">
        <f t="shared" si="0"/>
        <v>0.59815019463522467</v>
      </c>
    </row>
    <row r="16" spans="1:31" ht="15.6" x14ac:dyDescent="0.3">
      <c r="A16" s="50" t="s">
        <v>12</v>
      </c>
      <c r="B16" s="40">
        <v>491.5</v>
      </c>
      <c r="C16" s="41">
        <v>491.7</v>
      </c>
      <c r="D16" s="41">
        <v>490.1</v>
      </c>
      <c r="E16" s="41">
        <v>491.1</v>
      </c>
      <c r="F16" s="41">
        <v>503.09999999999997</v>
      </c>
      <c r="G16" s="41">
        <v>504</v>
      </c>
      <c r="H16" s="41">
        <v>503.5</v>
      </c>
      <c r="I16" s="41">
        <v>504.8</v>
      </c>
      <c r="J16" s="41">
        <v>505.09999999999997</v>
      </c>
      <c r="K16" s="41">
        <v>506.7</v>
      </c>
      <c r="L16" s="41">
        <v>507.6</v>
      </c>
      <c r="M16" s="41">
        <v>510.4</v>
      </c>
      <c r="N16" s="41">
        <v>515.20000000000005</v>
      </c>
      <c r="O16" s="41">
        <v>521.90000000000009</v>
      </c>
      <c r="P16" s="41">
        <v>530.79999999999995</v>
      </c>
      <c r="Q16" s="41">
        <v>542.20000000000005</v>
      </c>
      <c r="R16" s="41">
        <v>552.9</v>
      </c>
      <c r="S16" s="41">
        <v>559.5</v>
      </c>
      <c r="T16" s="41">
        <v>568.1</v>
      </c>
      <c r="U16" s="41">
        <v>578.9</v>
      </c>
      <c r="V16" s="41">
        <v>590</v>
      </c>
      <c r="W16" s="41">
        <v>597.9</v>
      </c>
      <c r="X16" s="41">
        <v>606.40000000000009</v>
      </c>
      <c r="Y16" s="41">
        <v>613.20000000000005</v>
      </c>
      <c r="Z16" s="41">
        <v>623.20000000000005</v>
      </c>
      <c r="AA16" s="41">
        <v>626.59999999999991</v>
      </c>
      <c r="AB16" s="41">
        <v>626.59999999999991</v>
      </c>
      <c r="AC16" s="41">
        <v>636.20000000000005</v>
      </c>
      <c r="AD16" s="41">
        <v>650.9</v>
      </c>
      <c r="AE16" s="41">
        <f t="shared" si="0"/>
        <v>0.49000898822947125</v>
      </c>
    </row>
    <row r="17" spans="1:31" ht="15.6" x14ac:dyDescent="0.3">
      <c r="A17" s="50" t="s">
        <v>13</v>
      </c>
      <c r="B17" s="40">
        <v>453.8</v>
      </c>
      <c r="C17" s="41">
        <v>464.7</v>
      </c>
      <c r="D17" s="41">
        <v>467.79999999999995</v>
      </c>
      <c r="E17" s="41">
        <v>471</v>
      </c>
      <c r="F17" s="41">
        <v>475.90000000000003</v>
      </c>
      <c r="G17" s="41">
        <v>477.8</v>
      </c>
      <c r="H17" s="41">
        <v>480.5</v>
      </c>
      <c r="I17" s="41">
        <v>485.09999999999997</v>
      </c>
      <c r="J17" s="41">
        <v>485.8</v>
      </c>
      <c r="K17" s="41">
        <v>487.40000000000003</v>
      </c>
      <c r="L17" s="41">
        <v>488.9</v>
      </c>
      <c r="M17" s="41">
        <v>490.4</v>
      </c>
      <c r="N17" s="41">
        <v>490.7</v>
      </c>
      <c r="O17" s="41">
        <v>491.9</v>
      </c>
      <c r="P17" s="41">
        <v>493.59999999999997</v>
      </c>
      <c r="Q17" s="41">
        <v>496.09999999999997</v>
      </c>
      <c r="R17" s="41">
        <v>498.79999999999995</v>
      </c>
      <c r="S17" s="41">
        <v>501.19999999999993</v>
      </c>
      <c r="T17" s="41">
        <v>502.70000000000005</v>
      </c>
      <c r="U17" s="41">
        <v>504.1</v>
      </c>
      <c r="V17" s="41">
        <v>505.9</v>
      </c>
      <c r="W17" s="41">
        <v>507.29999999999995</v>
      </c>
      <c r="X17" s="41">
        <v>508.9</v>
      </c>
      <c r="Y17" s="41">
        <v>510.6</v>
      </c>
      <c r="Z17" s="41">
        <v>512</v>
      </c>
      <c r="AA17" s="41">
        <v>514.79999999999995</v>
      </c>
      <c r="AB17" s="41">
        <v>514.79999999999995</v>
      </c>
      <c r="AC17" s="41">
        <v>516.6</v>
      </c>
      <c r="AD17" s="41">
        <v>518</v>
      </c>
      <c r="AE17" s="41">
        <f t="shared" si="0"/>
        <v>0.66902915487639214</v>
      </c>
    </row>
    <row r="18" spans="1:31" ht="15.6" x14ac:dyDescent="0.3">
      <c r="A18" s="50" t="s">
        <v>14</v>
      </c>
      <c r="B18" s="40">
        <v>497.1</v>
      </c>
      <c r="C18" s="41">
        <v>502.70000000000005</v>
      </c>
      <c r="D18" s="41">
        <v>504.90000000000003</v>
      </c>
      <c r="E18" s="41">
        <v>507.1</v>
      </c>
      <c r="F18" s="41">
        <v>511.29999999999995</v>
      </c>
      <c r="G18" s="41">
        <v>517.4</v>
      </c>
      <c r="H18" s="41">
        <v>516.70000000000005</v>
      </c>
      <c r="I18" s="41">
        <v>520.9</v>
      </c>
      <c r="J18" s="41">
        <v>521.79999999999995</v>
      </c>
      <c r="K18" s="41">
        <v>524.20000000000005</v>
      </c>
      <c r="L18" s="41">
        <v>526.6</v>
      </c>
      <c r="M18" s="41">
        <v>529.79999999999995</v>
      </c>
      <c r="N18" s="41">
        <v>532.1</v>
      </c>
      <c r="O18" s="41">
        <v>534.29999999999995</v>
      </c>
      <c r="P18" s="41">
        <v>538.20000000000005</v>
      </c>
      <c r="Q18" s="41">
        <v>543.1</v>
      </c>
      <c r="R18" s="41">
        <v>547.79999999999995</v>
      </c>
      <c r="S18" s="41">
        <v>552.1</v>
      </c>
      <c r="T18" s="41">
        <v>556</v>
      </c>
      <c r="U18" s="41">
        <v>559.20000000000005</v>
      </c>
      <c r="V18" s="41">
        <v>562.6</v>
      </c>
      <c r="W18" s="41">
        <v>565.40000000000009</v>
      </c>
      <c r="X18" s="41">
        <v>568.79999999999995</v>
      </c>
      <c r="Y18" s="41">
        <v>571.29999999999995</v>
      </c>
      <c r="Z18" s="41">
        <v>574</v>
      </c>
      <c r="AA18" s="41">
        <v>579.5</v>
      </c>
      <c r="AB18" s="41">
        <v>579.5</v>
      </c>
      <c r="AC18" s="41">
        <v>581</v>
      </c>
      <c r="AD18" s="41">
        <v>583</v>
      </c>
      <c r="AE18" s="41">
        <f t="shared" si="0"/>
        <v>0.62072795792752078</v>
      </c>
    </row>
    <row r="19" spans="1:31" ht="15.6" x14ac:dyDescent="0.3">
      <c r="A19" s="50" t="s">
        <v>15</v>
      </c>
      <c r="B19" s="40">
        <v>484</v>
      </c>
      <c r="C19" s="41">
        <v>472.4</v>
      </c>
      <c r="D19" s="41">
        <v>471.59999999999997</v>
      </c>
      <c r="E19" s="41">
        <v>475.6</v>
      </c>
      <c r="F19" s="41">
        <v>483.59999999999997</v>
      </c>
      <c r="G19" s="41">
        <v>489.29999999999995</v>
      </c>
      <c r="H19" s="41">
        <v>493.6</v>
      </c>
      <c r="I19" s="41">
        <v>493.1</v>
      </c>
      <c r="J19" s="41">
        <v>493.4</v>
      </c>
      <c r="K19" s="41">
        <v>504.7</v>
      </c>
      <c r="L19" s="41">
        <v>510.7</v>
      </c>
      <c r="M19" s="41">
        <v>506.2</v>
      </c>
      <c r="N19" s="41">
        <v>500.79999999999995</v>
      </c>
      <c r="O19" s="41">
        <v>500.3</v>
      </c>
      <c r="P19" s="41">
        <v>506.5</v>
      </c>
      <c r="Q19" s="41">
        <v>513.90000000000009</v>
      </c>
      <c r="R19" s="41">
        <v>521.6</v>
      </c>
      <c r="S19" s="41">
        <v>526.6</v>
      </c>
      <c r="T19" s="41">
        <v>526.9</v>
      </c>
      <c r="U19" s="41">
        <v>530.6</v>
      </c>
      <c r="V19" s="41">
        <v>535.1</v>
      </c>
      <c r="W19" s="41">
        <v>540.30000000000007</v>
      </c>
      <c r="X19" s="41">
        <v>536.20000000000005</v>
      </c>
      <c r="Y19" s="41">
        <v>528.9</v>
      </c>
      <c r="Z19" s="41">
        <v>531.20000000000005</v>
      </c>
      <c r="AA19" s="41">
        <v>532.5</v>
      </c>
      <c r="AB19" s="41">
        <v>532.6</v>
      </c>
      <c r="AC19" s="41">
        <v>535.5</v>
      </c>
      <c r="AD19" s="41">
        <v>539</v>
      </c>
      <c r="AE19" s="41">
        <f t="shared" si="0"/>
        <v>0.70177770974786358</v>
      </c>
    </row>
    <row r="20" spans="1:31" ht="15.6" x14ac:dyDescent="0.3">
      <c r="A20" s="50" t="s">
        <v>16</v>
      </c>
      <c r="B20" s="40">
        <v>562.9</v>
      </c>
      <c r="C20" s="41">
        <v>568.1</v>
      </c>
      <c r="D20" s="41">
        <v>567.70000000000005</v>
      </c>
      <c r="E20" s="41">
        <v>570</v>
      </c>
      <c r="F20" s="41">
        <v>579.69999999999993</v>
      </c>
      <c r="G20" s="41">
        <v>575.5</v>
      </c>
      <c r="H20" s="41">
        <v>576.4</v>
      </c>
      <c r="I20" s="41">
        <v>578.79999999999995</v>
      </c>
      <c r="J20" s="41">
        <v>579.1</v>
      </c>
      <c r="K20" s="41">
        <v>580.9</v>
      </c>
      <c r="L20" s="41">
        <v>581.29999999999995</v>
      </c>
      <c r="M20" s="41">
        <v>580</v>
      </c>
      <c r="N20" s="41">
        <v>579.29999999999995</v>
      </c>
      <c r="O20" s="41">
        <v>580.79999999999995</v>
      </c>
      <c r="P20" s="41">
        <v>583.5</v>
      </c>
      <c r="Q20" s="41">
        <v>583.79999999999995</v>
      </c>
      <c r="R20" s="41">
        <v>584.5</v>
      </c>
      <c r="S20" s="41">
        <v>585.5</v>
      </c>
      <c r="T20" s="41">
        <v>586.4</v>
      </c>
      <c r="U20" s="41">
        <v>587.4</v>
      </c>
      <c r="V20" s="41">
        <v>590.1</v>
      </c>
      <c r="W20" s="41">
        <v>591.29999999999995</v>
      </c>
      <c r="X20" s="41">
        <v>593</v>
      </c>
      <c r="Y20" s="41">
        <v>594.29999999999995</v>
      </c>
      <c r="Z20" s="41">
        <v>596.70000000000005</v>
      </c>
      <c r="AA20" s="41">
        <v>600.5</v>
      </c>
      <c r="AB20" s="41">
        <v>600.6</v>
      </c>
      <c r="AC20" s="41">
        <v>603.6</v>
      </c>
      <c r="AD20" s="41">
        <v>605.1</v>
      </c>
      <c r="AE20" s="41">
        <f t="shared" si="0"/>
        <v>0.52029895305885732</v>
      </c>
    </row>
    <row r="21" spans="1:31" ht="15.6" x14ac:dyDescent="0.3">
      <c r="A21" s="50" t="s">
        <v>18</v>
      </c>
      <c r="B21" s="40">
        <v>465.5</v>
      </c>
      <c r="C21" s="41">
        <v>470.49999999999994</v>
      </c>
      <c r="D21" s="41">
        <v>472.5</v>
      </c>
      <c r="E21" s="41">
        <v>475.40000000000003</v>
      </c>
      <c r="F21" s="41">
        <v>483.6</v>
      </c>
      <c r="G21" s="41">
        <v>484.8</v>
      </c>
      <c r="H21" s="41">
        <v>486.7</v>
      </c>
      <c r="I21" s="41">
        <v>491.3</v>
      </c>
      <c r="J21" s="41">
        <v>492.1</v>
      </c>
      <c r="K21" s="41">
        <v>495.40000000000003</v>
      </c>
      <c r="L21" s="41">
        <v>499.90000000000003</v>
      </c>
      <c r="M21" s="41">
        <v>503.6</v>
      </c>
      <c r="N21" s="41">
        <v>507.79999999999995</v>
      </c>
      <c r="O21" s="41">
        <v>510.59999999999997</v>
      </c>
      <c r="P21" s="41">
        <v>514.6</v>
      </c>
      <c r="Q21" s="41">
        <v>519.79999999999995</v>
      </c>
      <c r="R21" s="41">
        <v>524.9</v>
      </c>
      <c r="S21" s="41">
        <v>529.4</v>
      </c>
      <c r="T21" s="41">
        <v>533</v>
      </c>
      <c r="U21" s="41">
        <v>536.4</v>
      </c>
      <c r="V21" s="41">
        <v>540.6</v>
      </c>
      <c r="W21" s="41">
        <v>543.5</v>
      </c>
      <c r="X21" s="41">
        <v>547</v>
      </c>
      <c r="Y21" s="41">
        <v>549.79999999999995</v>
      </c>
      <c r="Z21" s="41">
        <v>552.6</v>
      </c>
      <c r="AA21" s="41">
        <v>556.5</v>
      </c>
      <c r="AB21" s="41">
        <v>556.29999999999995</v>
      </c>
      <c r="AC21" s="41">
        <v>558.6</v>
      </c>
      <c r="AD21" s="41">
        <v>559.79999999999995</v>
      </c>
      <c r="AE21" s="41">
        <f t="shared" si="0"/>
        <v>0.65154719321140964</v>
      </c>
    </row>
    <row r="22" spans="1:31" ht="15.6" x14ac:dyDescent="0.3">
      <c r="A22" s="50" t="s">
        <v>19</v>
      </c>
      <c r="B22" s="40">
        <v>435.80000000000007</v>
      </c>
      <c r="C22" s="41">
        <v>439.5</v>
      </c>
      <c r="D22" s="41">
        <v>441</v>
      </c>
      <c r="E22" s="41">
        <v>442.9</v>
      </c>
      <c r="F22" s="41">
        <v>452.9</v>
      </c>
      <c r="G22" s="41">
        <v>452.2</v>
      </c>
      <c r="H22" s="41">
        <v>456.1</v>
      </c>
      <c r="I22" s="41">
        <v>461.5</v>
      </c>
      <c r="J22" s="41">
        <v>462.5</v>
      </c>
      <c r="K22" s="41">
        <v>465.50000000000006</v>
      </c>
      <c r="L22" s="41">
        <v>468.70000000000005</v>
      </c>
      <c r="M22" s="41">
        <v>472.7</v>
      </c>
      <c r="N22" s="41">
        <v>478.5</v>
      </c>
      <c r="O22" s="41">
        <v>483.79999999999995</v>
      </c>
      <c r="P22" s="41">
        <v>490.4</v>
      </c>
      <c r="Q22" s="41">
        <v>496.1</v>
      </c>
      <c r="R22" s="41">
        <v>501.5</v>
      </c>
      <c r="S22" s="41">
        <v>506</v>
      </c>
      <c r="T22" s="41">
        <v>510.3</v>
      </c>
      <c r="U22" s="41">
        <v>514.4</v>
      </c>
      <c r="V22" s="41">
        <v>519.29999999999995</v>
      </c>
      <c r="W22" s="41">
        <v>522.29999999999995</v>
      </c>
      <c r="X22" s="41">
        <v>524.9</v>
      </c>
      <c r="Y22" s="41">
        <v>527.4</v>
      </c>
      <c r="Z22" s="41">
        <v>529.20000000000005</v>
      </c>
      <c r="AA22" s="41">
        <v>532.70000000000005</v>
      </c>
      <c r="AB22" s="41">
        <v>532.70000000000005</v>
      </c>
      <c r="AC22" s="41">
        <v>534.20000000000005</v>
      </c>
      <c r="AD22" s="41">
        <v>535.70000000000005</v>
      </c>
      <c r="AE22" s="41">
        <f t="shared" si="0"/>
        <v>0.67540972145747546</v>
      </c>
    </row>
    <row r="23" spans="1:31" ht="15.6" x14ac:dyDescent="0.3">
      <c r="A23" s="50" t="s">
        <v>20</v>
      </c>
      <c r="B23" s="40">
        <v>461.2</v>
      </c>
      <c r="C23" s="41">
        <v>466.00000000000006</v>
      </c>
      <c r="D23" s="41">
        <v>467.9</v>
      </c>
      <c r="E23" s="41">
        <v>470.6</v>
      </c>
      <c r="F23" s="41">
        <v>479</v>
      </c>
      <c r="G23" s="41">
        <v>480.09999999999997</v>
      </c>
      <c r="H23" s="41">
        <v>482.20000000000005</v>
      </c>
      <c r="I23" s="41">
        <v>486.8</v>
      </c>
      <c r="J23" s="41">
        <v>487.8</v>
      </c>
      <c r="K23" s="41">
        <v>490.90000000000003</v>
      </c>
      <c r="L23" s="41">
        <v>495.3</v>
      </c>
      <c r="M23" s="41">
        <v>498.9</v>
      </c>
      <c r="N23" s="41">
        <v>503.4</v>
      </c>
      <c r="O23" s="41">
        <v>506.70000000000005</v>
      </c>
      <c r="P23" s="41">
        <v>511.1</v>
      </c>
      <c r="Q23" s="41">
        <v>516.20000000000005</v>
      </c>
      <c r="R23" s="41">
        <v>521.4</v>
      </c>
      <c r="S23" s="41">
        <v>525.79999999999995</v>
      </c>
      <c r="T23" s="41">
        <v>529.59999999999991</v>
      </c>
      <c r="U23" s="41">
        <v>533.1</v>
      </c>
      <c r="V23" s="41">
        <v>537.4</v>
      </c>
      <c r="W23" s="41">
        <v>540.5</v>
      </c>
      <c r="X23" s="41">
        <v>543.70000000000005</v>
      </c>
      <c r="Y23" s="41">
        <v>546.5</v>
      </c>
      <c r="Z23" s="41">
        <v>549</v>
      </c>
      <c r="AA23" s="41">
        <v>552.9</v>
      </c>
      <c r="AB23" s="41">
        <v>552.9</v>
      </c>
      <c r="AC23" s="41">
        <v>554.79999999999995</v>
      </c>
      <c r="AD23" s="41">
        <v>556.29999999999995</v>
      </c>
      <c r="AE23" s="41">
        <f t="shared" si="0"/>
        <v>0.65526476172631887</v>
      </c>
    </row>
    <row r="24" spans="1:31" ht="15.6" x14ac:dyDescent="0.3">
      <c r="A24" s="50" t="s">
        <v>22</v>
      </c>
      <c r="B24" s="40">
        <v>315.39999999999998</v>
      </c>
      <c r="C24" s="41">
        <v>319.60000000000002</v>
      </c>
      <c r="D24" s="41">
        <v>319.8</v>
      </c>
      <c r="E24" s="41">
        <v>322.8</v>
      </c>
      <c r="F24" s="41">
        <v>323.2</v>
      </c>
      <c r="G24" s="41">
        <v>321</v>
      </c>
      <c r="H24" s="41">
        <v>323</v>
      </c>
      <c r="I24" s="41">
        <v>324.2</v>
      </c>
      <c r="J24" s="41">
        <v>324.2</v>
      </c>
      <c r="K24" s="41">
        <v>327.2</v>
      </c>
      <c r="L24" s="41">
        <v>328.4</v>
      </c>
      <c r="M24" s="41">
        <v>326.8</v>
      </c>
      <c r="N24" s="41">
        <v>329</v>
      </c>
      <c r="O24" s="41">
        <v>331</v>
      </c>
      <c r="P24" s="41">
        <v>330.6</v>
      </c>
      <c r="Q24" s="41">
        <v>334</v>
      </c>
      <c r="R24" s="41">
        <v>335</v>
      </c>
      <c r="S24" s="41">
        <v>333.6</v>
      </c>
      <c r="T24" s="41">
        <v>335.6</v>
      </c>
      <c r="U24" s="41">
        <v>338</v>
      </c>
      <c r="V24" s="41">
        <v>339</v>
      </c>
      <c r="W24" s="41">
        <v>342.4</v>
      </c>
      <c r="X24" s="41">
        <v>343.6</v>
      </c>
      <c r="Y24" s="41">
        <v>341.4</v>
      </c>
      <c r="Z24" s="41">
        <v>344.2</v>
      </c>
      <c r="AA24" s="41">
        <v>347</v>
      </c>
      <c r="AB24" s="41">
        <v>347</v>
      </c>
      <c r="AC24" s="41">
        <v>350.4</v>
      </c>
      <c r="AD24" s="41">
        <v>351.2</v>
      </c>
      <c r="AE24" s="41">
        <f t="shared" si="0"/>
        <v>0.56669439541330768</v>
      </c>
    </row>
    <row r="25" spans="1:31" ht="15.6" x14ac:dyDescent="0.3">
      <c r="A25" s="50" t="s">
        <v>23</v>
      </c>
      <c r="B25" s="40">
        <v>441.70000000000005</v>
      </c>
      <c r="C25" s="41">
        <v>455.9</v>
      </c>
      <c r="D25" s="41">
        <v>466.3</v>
      </c>
      <c r="E25" s="41">
        <v>466.5</v>
      </c>
      <c r="F25" s="41">
        <v>476.6</v>
      </c>
      <c r="G25" s="41">
        <v>478</v>
      </c>
      <c r="H25" s="41">
        <v>480.9</v>
      </c>
      <c r="I25" s="41">
        <v>486.4</v>
      </c>
      <c r="J25" s="41">
        <v>487.1</v>
      </c>
      <c r="K25" s="41">
        <v>491.9</v>
      </c>
      <c r="L25" s="41">
        <v>490.79999999999995</v>
      </c>
      <c r="M25" s="41">
        <v>491.4</v>
      </c>
      <c r="N25" s="41">
        <v>491.59999999999997</v>
      </c>
      <c r="O25" s="41">
        <v>496.09999999999997</v>
      </c>
      <c r="P25" s="41">
        <v>500.59999999999997</v>
      </c>
      <c r="Q25" s="41">
        <v>516</v>
      </c>
      <c r="R25" s="41">
        <v>523.4</v>
      </c>
      <c r="S25" s="41">
        <v>527.6</v>
      </c>
      <c r="T25" s="41">
        <v>538.70000000000005</v>
      </c>
      <c r="U25" s="41">
        <v>536.29999999999995</v>
      </c>
      <c r="V25" s="41">
        <v>538.4</v>
      </c>
      <c r="W25" s="41">
        <v>541.29999999999995</v>
      </c>
      <c r="X25" s="41">
        <v>543.5</v>
      </c>
      <c r="Y25" s="41">
        <v>545.4</v>
      </c>
      <c r="Z25" s="41">
        <v>545.29999999999995</v>
      </c>
      <c r="AA25" s="41">
        <v>546.5</v>
      </c>
      <c r="AB25" s="41">
        <v>545.9</v>
      </c>
      <c r="AC25" s="41">
        <v>545.29999999999995</v>
      </c>
      <c r="AD25" s="41">
        <v>548.70000000000005</v>
      </c>
      <c r="AE25" s="41">
        <f t="shared" si="0"/>
        <v>0.69770799898446079</v>
      </c>
    </row>
    <row r="26" spans="1:31" ht="15.6" x14ac:dyDescent="0.3">
      <c r="A26" s="50" t="s">
        <v>24</v>
      </c>
      <c r="B26" s="40">
        <v>449.6</v>
      </c>
      <c r="C26" s="41">
        <v>452.20000000000005</v>
      </c>
      <c r="D26" s="41">
        <v>453.2</v>
      </c>
      <c r="E26" s="41">
        <v>454.90000000000003</v>
      </c>
      <c r="F26" s="41">
        <v>463.59999999999997</v>
      </c>
      <c r="G26" s="41">
        <v>463.8</v>
      </c>
      <c r="H26" s="41">
        <v>466.8</v>
      </c>
      <c r="I26" s="41">
        <v>471.6</v>
      </c>
      <c r="J26" s="41">
        <v>472.1</v>
      </c>
      <c r="K26" s="41">
        <v>474.70000000000005</v>
      </c>
      <c r="L26" s="41">
        <v>477.40000000000003</v>
      </c>
      <c r="M26" s="41">
        <v>480.09999999999997</v>
      </c>
      <c r="N26" s="41">
        <v>482.80000000000007</v>
      </c>
      <c r="O26" s="41">
        <v>484.90000000000003</v>
      </c>
      <c r="P26" s="41">
        <v>487.90000000000003</v>
      </c>
      <c r="Q26" s="41">
        <v>491.5</v>
      </c>
      <c r="R26" s="41">
        <v>495.2</v>
      </c>
      <c r="S26" s="41">
        <v>498.79999999999995</v>
      </c>
      <c r="T26" s="41">
        <v>501.79999999999995</v>
      </c>
      <c r="U26" s="41">
        <v>505</v>
      </c>
      <c r="V26" s="41">
        <v>508.1</v>
      </c>
      <c r="W26" s="41">
        <v>510.79999999999995</v>
      </c>
      <c r="X26" s="41">
        <v>513.79999999999995</v>
      </c>
      <c r="Y26" s="41">
        <v>515.80000000000007</v>
      </c>
      <c r="Z26" s="41">
        <v>518.1</v>
      </c>
      <c r="AA26" s="41">
        <v>522</v>
      </c>
      <c r="AB26" s="41">
        <v>522</v>
      </c>
      <c r="AC26" s="41">
        <v>523.29999999999995</v>
      </c>
      <c r="AD26" s="41">
        <v>525.09999999999991</v>
      </c>
      <c r="AE26" s="41">
        <f t="shared" si="0"/>
        <v>0.63978264143517616</v>
      </c>
    </row>
    <row r="27" spans="1:31" ht="15.6" x14ac:dyDescent="0.3">
      <c r="A27" s="50" t="s">
        <v>26</v>
      </c>
      <c r="B27" s="40">
        <v>475.90000000000003</v>
      </c>
      <c r="C27" s="41">
        <v>481.90000000000003</v>
      </c>
      <c r="D27" s="41">
        <v>483.2</v>
      </c>
      <c r="E27" s="41">
        <v>485.1</v>
      </c>
      <c r="F27" s="41">
        <v>495.3</v>
      </c>
      <c r="G27" s="41">
        <v>496.8</v>
      </c>
      <c r="H27" s="41">
        <v>498.9</v>
      </c>
      <c r="I27" s="41">
        <v>502.29999999999995</v>
      </c>
      <c r="J27" s="41">
        <v>503.1</v>
      </c>
      <c r="K27" s="41">
        <v>505.1</v>
      </c>
      <c r="L27" s="41">
        <v>507.5</v>
      </c>
      <c r="M27" s="41">
        <v>509.70000000000005</v>
      </c>
      <c r="N27" s="41">
        <v>512.19999999999993</v>
      </c>
      <c r="O27" s="41">
        <v>514.70000000000005</v>
      </c>
      <c r="P27" s="41">
        <v>517.20000000000005</v>
      </c>
      <c r="Q27" s="41">
        <v>520</v>
      </c>
      <c r="R27" s="41">
        <v>522.59999999999991</v>
      </c>
      <c r="S27" s="41">
        <v>524.5</v>
      </c>
      <c r="T27" s="41">
        <v>526.6</v>
      </c>
      <c r="U27" s="41">
        <v>528.79999999999995</v>
      </c>
      <c r="V27" s="41">
        <v>531.79999999999995</v>
      </c>
      <c r="W27" s="41">
        <v>534.59999999999991</v>
      </c>
      <c r="X27" s="41">
        <v>537.90000000000009</v>
      </c>
      <c r="Y27" s="41">
        <v>541.79999999999995</v>
      </c>
      <c r="Z27" s="41">
        <v>545.5</v>
      </c>
      <c r="AA27" s="41">
        <v>551.79999999999995</v>
      </c>
      <c r="AB27" s="41">
        <v>551.79999999999995</v>
      </c>
      <c r="AC27" s="41">
        <v>553.70000000000005</v>
      </c>
      <c r="AD27" s="41">
        <v>555.70000000000005</v>
      </c>
      <c r="AE27" s="41">
        <f t="shared" si="0"/>
        <v>0.60670106806214286</v>
      </c>
    </row>
    <row r="28" spans="1:31" ht="15.6" x14ac:dyDescent="0.3">
      <c r="A28" s="50" t="s">
        <v>27</v>
      </c>
      <c r="B28" s="40">
        <v>426.29999999999995</v>
      </c>
      <c r="C28" s="41">
        <v>435.79999999999995</v>
      </c>
      <c r="D28" s="41">
        <v>439.2</v>
      </c>
      <c r="E28" s="41">
        <v>440.4</v>
      </c>
      <c r="F28" s="41">
        <v>447.1</v>
      </c>
      <c r="G28" s="41">
        <v>452.4</v>
      </c>
      <c r="H28" s="41">
        <v>459.70000000000005</v>
      </c>
      <c r="I28" s="41">
        <v>462.1</v>
      </c>
      <c r="J28" s="41">
        <v>462.3</v>
      </c>
      <c r="K28" s="41">
        <v>467.4</v>
      </c>
      <c r="L28" s="41">
        <v>464.90000000000003</v>
      </c>
      <c r="M28" s="41">
        <v>467.59999999999997</v>
      </c>
      <c r="N28" s="41">
        <v>470</v>
      </c>
      <c r="O28" s="41">
        <v>471.19999999999993</v>
      </c>
      <c r="P28" s="41">
        <v>474.1</v>
      </c>
      <c r="Q28" s="41">
        <v>488.1</v>
      </c>
      <c r="R28" s="41">
        <v>489.5</v>
      </c>
      <c r="S28" s="41">
        <v>483.79999999999995</v>
      </c>
      <c r="T28" s="41">
        <v>485.30000000000007</v>
      </c>
      <c r="U28" s="41">
        <v>486.19999999999993</v>
      </c>
      <c r="V28" s="41">
        <v>487.40000000000003</v>
      </c>
      <c r="W28" s="41">
        <v>489.1</v>
      </c>
      <c r="X28" s="41">
        <v>489.4</v>
      </c>
      <c r="Y28" s="41">
        <v>490.6</v>
      </c>
      <c r="Z28" s="41">
        <v>491.29999999999995</v>
      </c>
      <c r="AA28" s="41">
        <v>493</v>
      </c>
      <c r="AB28" s="41">
        <v>493</v>
      </c>
      <c r="AC28" s="41">
        <v>494</v>
      </c>
      <c r="AD28" s="41">
        <v>494.90000000000003</v>
      </c>
      <c r="AE28" s="41">
        <f t="shared" si="0"/>
        <v>0.76964446486850357</v>
      </c>
    </row>
    <row r="29" spans="1:31" ht="15.6" x14ac:dyDescent="0.3">
      <c r="A29" s="50" t="s">
        <v>28</v>
      </c>
      <c r="B29" s="40">
        <v>450.1</v>
      </c>
      <c r="C29" s="41">
        <v>455.8</v>
      </c>
      <c r="D29" s="41">
        <v>459</v>
      </c>
      <c r="E29" s="41">
        <v>460.9</v>
      </c>
      <c r="F29" s="41">
        <v>468.40000000000003</v>
      </c>
      <c r="G29" s="41">
        <v>466</v>
      </c>
      <c r="H29" s="41">
        <v>467.2</v>
      </c>
      <c r="I29" s="41">
        <v>472.4</v>
      </c>
      <c r="J29" s="41">
        <v>474.3</v>
      </c>
      <c r="K29" s="41">
        <v>476.9</v>
      </c>
      <c r="L29" s="41">
        <v>480.3</v>
      </c>
      <c r="M29" s="41">
        <v>482.70000000000005</v>
      </c>
      <c r="N29" s="41">
        <v>484.5</v>
      </c>
      <c r="O29" s="41">
        <v>487.1</v>
      </c>
      <c r="P29" s="41">
        <v>490.7</v>
      </c>
      <c r="Q29" s="41">
        <v>493.79999999999995</v>
      </c>
      <c r="R29" s="41">
        <v>495.9</v>
      </c>
      <c r="S29" s="41">
        <v>497.90000000000003</v>
      </c>
      <c r="T29" s="41">
        <v>499.5</v>
      </c>
      <c r="U29" s="41">
        <v>501.29999999999995</v>
      </c>
      <c r="V29" s="41">
        <v>503.4</v>
      </c>
      <c r="W29" s="41">
        <v>505.09999999999997</v>
      </c>
      <c r="X29" s="41">
        <v>506</v>
      </c>
      <c r="Y29" s="41">
        <v>507.19999999999993</v>
      </c>
      <c r="Z29" s="41">
        <v>509.1</v>
      </c>
      <c r="AA29" s="41">
        <v>511.50000000000006</v>
      </c>
      <c r="AB29" s="41">
        <v>511.50000000000006</v>
      </c>
      <c r="AC29" s="41">
        <v>512.70000000000005</v>
      </c>
      <c r="AD29" s="41">
        <v>514.20000000000005</v>
      </c>
      <c r="AE29" s="41">
        <f t="shared" si="0"/>
        <v>0.70830990961450824</v>
      </c>
    </row>
    <row r="30" spans="1:31" ht="15.6" x14ac:dyDescent="0.3">
      <c r="A30" s="50" t="s">
        <v>29</v>
      </c>
      <c r="B30" s="40">
        <v>478.8</v>
      </c>
      <c r="C30" s="41">
        <v>479.7</v>
      </c>
      <c r="D30" s="41">
        <v>481.59999999999997</v>
      </c>
      <c r="E30" s="41">
        <v>482</v>
      </c>
      <c r="F30" s="41">
        <v>485.4</v>
      </c>
      <c r="G30" s="41">
        <v>486.59999999999997</v>
      </c>
      <c r="H30" s="41">
        <v>490.7</v>
      </c>
      <c r="I30" s="41">
        <v>491.7</v>
      </c>
      <c r="J30" s="41">
        <v>492.5</v>
      </c>
      <c r="K30" s="41">
        <v>493.20000000000005</v>
      </c>
      <c r="L30" s="41">
        <v>494.40000000000003</v>
      </c>
      <c r="M30" s="41">
        <v>494.69999999999993</v>
      </c>
      <c r="N30" s="41">
        <v>495.59999999999997</v>
      </c>
      <c r="O30" s="41">
        <v>497.70000000000005</v>
      </c>
      <c r="P30" s="41">
        <v>499.29999999999995</v>
      </c>
      <c r="Q30" s="41">
        <v>501.79999999999995</v>
      </c>
      <c r="R30" s="41">
        <v>504.9</v>
      </c>
      <c r="S30" s="41">
        <v>508.1</v>
      </c>
      <c r="T30" s="41">
        <v>515.19999999999993</v>
      </c>
      <c r="U30" s="41">
        <v>517.90000000000009</v>
      </c>
      <c r="V30" s="41">
        <v>520.20000000000005</v>
      </c>
      <c r="W30" s="41">
        <v>521.1</v>
      </c>
      <c r="X30" s="41">
        <v>522.09999999999991</v>
      </c>
      <c r="Y30" s="41">
        <v>523.20000000000005</v>
      </c>
      <c r="Z30" s="41">
        <v>523.90000000000009</v>
      </c>
      <c r="AA30" s="41">
        <v>526</v>
      </c>
      <c r="AB30" s="41">
        <v>526</v>
      </c>
      <c r="AC30" s="41">
        <v>530</v>
      </c>
      <c r="AD30" s="41">
        <v>532.20000000000005</v>
      </c>
      <c r="AE30" s="41">
        <f t="shared" si="0"/>
        <v>0.58338135184777118</v>
      </c>
    </row>
    <row r="31" spans="1:31" ht="15.6" x14ac:dyDescent="0.3">
      <c r="A31" s="50" t="s">
        <v>30</v>
      </c>
      <c r="B31" s="40">
        <v>470.7</v>
      </c>
      <c r="C31" s="41">
        <v>467.7</v>
      </c>
      <c r="D31" s="41">
        <v>461.8</v>
      </c>
      <c r="E31" s="41">
        <v>466.6</v>
      </c>
      <c r="F31" s="41">
        <v>475.4</v>
      </c>
      <c r="G31" s="41">
        <v>476.2</v>
      </c>
      <c r="H31" s="41">
        <v>480.1</v>
      </c>
      <c r="I31" s="41">
        <v>479.9</v>
      </c>
      <c r="J31" s="41">
        <v>479.79999999999995</v>
      </c>
      <c r="K31" s="41">
        <v>482.2</v>
      </c>
      <c r="L31" s="41">
        <v>486.40000000000003</v>
      </c>
      <c r="M31" s="41">
        <v>487.80000000000007</v>
      </c>
      <c r="N31" s="41">
        <v>489</v>
      </c>
      <c r="O31" s="41">
        <v>493.1</v>
      </c>
      <c r="P31" s="41">
        <v>501.40000000000003</v>
      </c>
      <c r="Q31" s="41">
        <v>506.2</v>
      </c>
      <c r="R31" s="41">
        <v>505.1</v>
      </c>
      <c r="S31" s="41">
        <v>508.1</v>
      </c>
      <c r="T31" s="41">
        <v>509.2</v>
      </c>
      <c r="U31" s="41">
        <v>513.70000000000005</v>
      </c>
      <c r="V31" s="41">
        <v>512.79999999999995</v>
      </c>
      <c r="W31" s="41">
        <v>516.4</v>
      </c>
      <c r="X31" s="41">
        <v>520.80000000000007</v>
      </c>
      <c r="Y31" s="41">
        <v>527.5</v>
      </c>
      <c r="Z31" s="41">
        <v>535.80000000000007</v>
      </c>
      <c r="AA31" s="41">
        <v>543.1</v>
      </c>
      <c r="AB31" s="41">
        <v>543.20000000000005</v>
      </c>
      <c r="AC31" s="41">
        <v>552.20000000000005</v>
      </c>
      <c r="AD31" s="41">
        <v>555.70000000000005</v>
      </c>
      <c r="AE31" s="41">
        <f t="shared" si="0"/>
        <v>0.53390178181686943</v>
      </c>
    </row>
    <row r="32" spans="1:31" ht="15.6" x14ac:dyDescent="0.3">
      <c r="A32" s="50" t="s">
        <v>31</v>
      </c>
      <c r="B32" s="40">
        <v>455.4</v>
      </c>
      <c r="C32" s="41">
        <v>459.9</v>
      </c>
      <c r="D32" s="41">
        <v>461.1</v>
      </c>
      <c r="E32" s="41">
        <v>462.9</v>
      </c>
      <c r="F32" s="41">
        <v>470.2</v>
      </c>
      <c r="G32" s="41">
        <v>472.5</v>
      </c>
      <c r="H32" s="41">
        <v>476.8</v>
      </c>
      <c r="I32" s="41">
        <v>479.3</v>
      </c>
      <c r="J32" s="41">
        <v>479.8</v>
      </c>
      <c r="K32" s="41">
        <v>482.7</v>
      </c>
      <c r="L32" s="41">
        <v>483.9</v>
      </c>
      <c r="M32" s="41">
        <v>485.8</v>
      </c>
      <c r="N32" s="41">
        <v>487.9</v>
      </c>
      <c r="O32" s="41">
        <v>490.20000000000005</v>
      </c>
      <c r="P32" s="41">
        <v>493.5</v>
      </c>
      <c r="Q32" s="41">
        <v>500.09999999999997</v>
      </c>
      <c r="R32" s="41">
        <v>502.20000000000005</v>
      </c>
      <c r="S32" s="41">
        <v>502.3</v>
      </c>
      <c r="T32" s="41">
        <v>504.9</v>
      </c>
      <c r="U32" s="41">
        <v>507.1</v>
      </c>
      <c r="V32" s="41">
        <v>508.9</v>
      </c>
      <c r="W32" s="41">
        <v>511.20000000000005</v>
      </c>
      <c r="X32" s="41">
        <v>513.1</v>
      </c>
      <c r="Y32" s="41">
        <v>515.70000000000005</v>
      </c>
      <c r="Z32" s="41">
        <v>518.20000000000005</v>
      </c>
      <c r="AA32" s="41">
        <v>522</v>
      </c>
      <c r="AB32" s="41">
        <v>522</v>
      </c>
      <c r="AC32" s="41">
        <v>524.79999999999995</v>
      </c>
      <c r="AD32" s="41">
        <v>526.79999999999995</v>
      </c>
      <c r="AE32" s="41">
        <f t="shared" si="0"/>
        <v>0.66135792796598014</v>
      </c>
    </row>
    <row r="35" spans="1:1" ht="15.6" x14ac:dyDescent="0.3">
      <c r="A35" s="54" t="s">
        <v>153</v>
      </c>
    </row>
    <row r="37" spans="1:1" x14ac:dyDescent="0.3">
      <c r="A37" t="s">
        <v>154</v>
      </c>
    </row>
    <row r="38" spans="1:1" x14ac:dyDescent="0.3">
      <c r="A38" t="s">
        <v>155</v>
      </c>
    </row>
  </sheetData>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Backup</vt:lpstr>
      <vt:lpstr>Broader Categories</vt:lpstr>
      <vt:lpstr>Main Data</vt:lpstr>
      <vt:lpstr>Transpose</vt:lpstr>
      <vt:lpstr>Solution 1</vt:lpstr>
      <vt:lpstr>Solution 2</vt:lpstr>
      <vt:lpstr>Solution 3</vt:lpstr>
      <vt:lpstr>Solution 4</vt:lpstr>
      <vt:lpstr>Solution 5</vt:lpstr>
      <vt:lpstr>Gen_Ind</vt:lpstr>
      <vt:lpstr>Latestmonth</vt:lpstr>
      <vt:lpstr>May</vt:lpstr>
      <vt:lpstr>Month</vt:lpstr>
      <vt:lpstr>Name</vt:lpstr>
      <vt:lpstr>Sector</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Haritha Kurmapu</dc:creator>
  <cp:lastModifiedBy>Haritha Kurmapu</cp:lastModifiedBy>
  <dcterms:created xsi:type="dcterms:W3CDTF">2025-07-23T00:19:36Z</dcterms:created>
  <dcterms:modified xsi:type="dcterms:W3CDTF">2026-09-26T12:02:34Z</dcterms:modified>
</cp:coreProperties>
</file>